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/>
  <mc:AlternateContent xmlns:mc="http://schemas.openxmlformats.org/markup-compatibility/2006">
    <mc:Choice Requires="x15">
      <x15ac:absPath xmlns:x15ac="http://schemas.microsoft.com/office/spreadsheetml/2010/11/ac" url="https://fwb365.sharepoint.com/sites/CPM-Prestationaudio/Shared Documents/Prestations Audio/"/>
    </mc:Choice>
  </mc:AlternateContent>
  <xr:revisionPtr revIDLastSave="412" documentId="11_8BA3C09E2DF16CD648EA96253F05920B2FF8C28C" xr6:coauthVersionLast="47" xr6:coauthVersionMax="47" xr10:uidLastSave="{8A9EEBF3-4883-4EC7-AEB9-7E4852A37833}"/>
  <bookViews>
    <workbookView xWindow="-23148" yWindow="-108" windowWidth="23256" windowHeight="12456" activeTab="1" xr2:uid="{00000000-000D-0000-FFFF-FFFF00000000}"/>
  </bookViews>
  <sheets>
    <sheet name="2025" sheetId="2" r:id="rId1"/>
    <sheet name="2026" sheetId="1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H3" i="1"/>
  <c r="G12" i="1"/>
  <c r="G8" i="1"/>
  <c r="G7" i="1"/>
  <c r="G5" i="1"/>
  <c r="G4" i="1"/>
  <c r="G3" i="1"/>
  <c r="F4" i="1"/>
  <c r="F2" i="1"/>
  <c r="E15" i="1"/>
  <c r="E16" i="1" l="1"/>
  <c r="E13" i="1"/>
  <c r="E10" i="1"/>
  <c r="E9" i="1"/>
  <c r="E5" i="1"/>
  <c r="E4" i="1"/>
  <c r="E14" i="1" l="1"/>
  <c r="E12" i="1"/>
  <c r="E6" i="1"/>
  <c r="E2" i="1" l="1"/>
  <c r="E7" i="1" l="1"/>
  <c r="D15" i="1" l="1"/>
  <c r="C15" i="1"/>
  <c r="E3" i="1" l="1"/>
  <c r="C9" i="1"/>
  <c r="C10" i="1"/>
  <c r="C11" i="1"/>
  <c r="C13" i="1"/>
  <c r="C4" i="1"/>
  <c r="C8" i="1"/>
  <c r="C5" i="1"/>
  <c r="C16" i="1"/>
  <c r="C12" i="1" l="1"/>
  <c r="C14" i="1"/>
  <c r="C6" i="1"/>
  <c r="C2" i="1" l="1"/>
  <c r="C7" i="1" l="1"/>
  <c r="D16" i="1" l="1"/>
  <c r="D13" i="1"/>
  <c r="D11" i="1"/>
  <c r="D10" i="1"/>
  <c r="D9" i="1"/>
  <c r="D8" i="1"/>
  <c r="D5" i="1"/>
  <c r="D4" i="1"/>
  <c r="D14" i="1" l="1"/>
  <c r="D12" i="1"/>
  <c r="D6" i="1"/>
  <c r="D2" i="1" l="1"/>
  <c r="D7" i="1" l="1"/>
  <c r="C3" i="1" l="1"/>
  <c r="D3" i="1" l="1"/>
  <c r="F15" i="1" l="1"/>
  <c r="E11" i="1" l="1"/>
  <c r="E8" i="1"/>
  <c r="F16" i="1" l="1"/>
  <c r="F13" i="1"/>
  <c r="F11" i="1"/>
  <c r="F10" i="1"/>
  <c r="F9" i="1"/>
  <c r="F8" i="1"/>
  <c r="F5" i="1"/>
  <c r="F14" i="1" l="1"/>
  <c r="F12" i="1"/>
  <c r="F6" i="1"/>
  <c r="F7" i="1" l="1"/>
  <c r="F3" i="1" l="1"/>
  <c r="H4" i="1" l="1"/>
  <c r="G16" i="1" l="1"/>
  <c r="G11" i="1"/>
  <c r="G10" i="1"/>
  <c r="H8" i="1"/>
  <c r="H10" i="1" l="1"/>
  <c r="G2" i="1"/>
  <c r="H15" i="1" l="1"/>
  <c r="G15" i="1"/>
  <c r="I15" i="1" l="1"/>
  <c r="H5" i="1" l="1"/>
  <c r="H13" i="1" l="1"/>
  <c r="G13" i="1"/>
  <c r="H9" i="1"/>
  <c r="G9" i="1"/>
  <c r="I4" i="1"/>
  <c r="H11" i="1"/>
  <c r="H12" i="1"/>
  <c r="H16" i="1" l="1"/>
  <c r="H14" i="1"/>
  <c r="G14" i="1"/>
  <c r="I10" i="1"/>
  <c r="I9" i="1"/>
  <c r="I8" i="1"/>
  <c r="H6" i="1"/>
  <c r="G6" i="1"/>
  <c r="I5" i="1"/>
  <c r="H2" i="1"/>
  <c r="I16" i="1" l="1"/>
  <c r="I14" i="1"/>
  <c r="I13" i="1"/>
  <c r="I11" i="1"/>
  <c r="I6" i="1"/>
  <c r="H7" i="1"/>
  <c r="I2" i="1" l="1"/>
  <c r="I7" i="1" l="1"/>
  <c r="B4" i="1" l="1"/>
  <c r="B12" i="1" l="1"/>
  <c r="B9" i="1"/>
  <c r="B7" i="1"/>
  <c r="B6" i="1"/>
  <c r="J15" i="1" l="1"/>
  <c r="B16" i="1"/>
  <c r="B14" i="1"/>
  <c r="B13" i="1"/>
  <c r="B11" i="1"/>
  <c r="B10" i="1"/>
  <c r="B8" i="1"/>
  <c r="B5" i="1"/>
  <c r="B2" i="1"/>
  <c r="J4" i="1" l="1"/>
  <c r="I12" i="1"/>
  <c r="J13" i="1" l="1"/>
  <c r="J10" i="1"/>
  <c r="J9" i="1"/>
  <c r="J8" i="1"/>
  <c r="J5" i="1"/>
  <c r="J16" i="1" l="1"/>
  <c r="J14" i="1"/>
  <c r="J12" i="1"/>
  <c r="J11" i="1"/>
  <c r="J6" i="1"/>
  <c r="J2" i="1" l="1"/>
  <c r="J7" i="1" l="1"/>
  <c r="B3" i="1" l="1"/>
  <c r="J3" i="1" l="1"/>
</calcChain>
</file>

<file path=xl/sharedStrings.xml><?xml version="1.0" encoding="utf-8"?>
<sst xmlns="http://schemas.openxmlformats.org/spreadsheetml/2006/main" count="58" uniqueCount="29">
  <si>
    <t>Agent</t>
  </si>
  <si>
    <t>Solde 31/08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</si>
  <si>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</si>
  <si>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</si>
  <si>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</si>
  <si>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</si>
  <si>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</si>
  <si>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</si>
  <si>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</si>
  <si>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</si>
  <si>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</si>
  <si>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</si>
  <si>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</si>
  <si>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</si>
  <si>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Carpentier Daniel</t>
  </si>
  <si>
    <t>Daix Martin</t>
  </si>
  <si>
    <t>De Lucia Riccardo</t>
  </si>
  <si>
    <t>Denis Gilles</t>
  </si>
  <si>
    <t>Deroy Vincent</t>
  </si>
  <si>
    <t>Djeukoua Paul-Alain</t>
  </si>
  <si>
    <t>Hidalgo Jéronimo</t>
  </si>
  <si>
    <t>Logist Gilles</t>
  </si>
  <si>
    <t>Martinot Alain</t>
  </si>
  <si>
    <t>Pourlier Florent</t>
  </si>
  <si>
    <t>Sevrin Jérôme</t>
  </si>
  <si>
    <t>Vandenbosch Emmanuel</t>
  </si>
  <si>
    <t>Vilches Jonathan</t>
  </si>
  <si>
    <t>Vitarella Anthony</t>
  </si>
  <si>
    <t>Wauthelet Jimmy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</si>
</sst>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6"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PM-PrestationsAgentsCPM/Shared%20Documents/Prestations%20Agents%20CPM/CalculHeureAudio.xlsx" TargetMode="External"/><Relationship Id="rId2" Type="http://schemas.openxmlformats.org/officeDocument/2006/relationships/externalLinkPath" Target="https://fwb365.sharepoint.com/sites/CPM-PrestationsAgentsCPM/Shared%20Documents/Prestations%20Agents%20CPM/CalculHeureAudio.xlsx" TargetMode="External"/><Relationship Id="rId1" Type="http://schemas.openxmlformats.org/officeDocument/2006/relationships/externalLinkPath" Target="/sites/CPM-PrestationsAgentsCPM/Shared%20Documents/Prestations%20Agents%20CPM/CalculHeureAud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RPENTIER"/>
      <sheetName val="DAIX"/>
      <sheetName val="DE LUCIA"/>
      <sheetName val="DENIS"/>
      <sheetName val="DEROY"/>
      <sheetName val="DJEUKOUA"/>
      <sheetName val="HIDALGO"/>
      <sheetName val="LOGIST"/>
      <sheetName val="MARTINOT"/>
      <sheetName val="POURLIER"/>
      <sheetName val="SEVRIN"/>
      <sheetName val="VANDENBOSCH"/>
      <sheetName val="VILCHES"/>
      <sheetName val="VITARELLA"/>
      <sheetName val="WAUTHELET"/>
    </sheetNames>
    <sheetDataSet>
      <sheetData sheetId="0">
        <row r="2">
          <cell r="F2" t="str">
            <v xml:space="preserve"> </v>
          </cell>
        </row>
        <row r="5">
          <cell r="K5">
            <v>0.21603535353535347</v>
          </cell>
        </row>
        <row r="6">
          <cell r="K6">
            <v>0.2132575757575757</v>
          </cell>
        </row>
        <row r="7">
          <cell r="K7">
            <v>0.20101010101010094</v>
          </cell>
        </row>
        <row r="8">
          <cell r="K8">
            <v>0.27462121212121204</v>
          </cell>
        </row>
        <row r="9">
          <cell r="K9">
            <v>0.38871434937611399</v>
          </cell>
        </row>
        <row r="10">
          <cell r="K10">
            <v>0.33940879382055844</v>
          </cell>
        </row>
        <row r="11">
          <cell r="K11">
            <v>0.43603577794754256</v>
          </cell>
        </row>
        <row r="12">
          <cell r="K12">
            <v>0.34714688905865365</v>
          </cell>
        </row>
        <row r="19">
          <cell r="E19" t="str">
            <v xml:space="preserve"> </v>
          </cell>
        </row>
        <row r="22">
          <cell r="K22">
            <v>0.40694444444444444</v>
          </cell>
        </row>
        <row r="23">
          <cell r="K23">
            <v>0.36180555555555555</v>
          </cell>
        </row>
        <row r="24">
          <cell r="K24">
            <v>0.36775793650793653</v>
          </cell>
        </row>
        <row r="25">
          <cell r="K25">
            <v>8.2341269841269854E-2</v>
          </cell>
        </row>
        <row r="26">
          <cell r="K26">
            <v>3.6507936507936517E-2</v>
          </cell>
        </row>
        <row r="27">
          <cell r="K27">
            <v>0.32708333333333328</v>
          </cell>
        </row>
        <row r="28">
          <cell r="K28">
            <v>0.2517676767676767</v>
          </cell>
        </row>
        <row r="29">
          <cell r="K29">
            <v>0.46010101010101001</v>
          </cell>
        </row>
        <row r="30">
          <cell r="K30">
            <v>0.14589646464646455</v>
          </cell>
        </row>
        <row r="31">
          <cell r="K31">
            <v>0.15561868686868677</v>
          </cell>
        </row>
        <row r="32">
          <cell r="K32">
            <v>0.102840909090909</v>
          </cell>
        </row>
        <row r="33">
          <cell r="K33">
            <v>0.20145202020202013</v>
          </cell>
        </row>
      </sheetData>
      <sheetData sheetId="1">
        <row r="2">
          <cell r="F2" t="str">
            <v xml:space="preserve"> </v>
          </cell>
        </row>
        <row r="5">
          <cell r="K5">
            <v>-0.55346398770311822</v>
          </cell>
        </row>
        <row r="6">
          <cell r="K6">
            <v>-0.42151954325867375</v>
          </cell>
        </row>
        <row r="7">
          <cell r="K7">
            <v>-2.7390755379885834E-2</v>
          </cell>
        </row>
        <row r="8">
          <cell r="K8">
            <v>-0.10625980299893345</v>
          </cell>
        </row>
        <row r="9">
          <cell r="K9">
            <v>3.8184641445510981E-2</v>
          </cell>
        </row>
        <row r="10">
          <cell r="K10">
            <v>0.17985130811217764</v>
          </cell>
        </row>
        <row r="11">
          <cell r="K11">
            <v>0.24512908588995541</v>
          </cell>
        </row>
        <row r="12">
          <cell r="K12">
            <v>0.48749019700106655</v>
          </cell>
        </row>
        <row r="19">
          <cell r="E19" t="str">
            <v xml:space="preserve"> </v>
          </cell>
        </row>
        <row r="22">
          <cell r="K22">
            <v>0.56666666666666665</v>
          </cell>
        </row>
        <row r="23">
          <cell r="K23">
            <v>0.67638888888888893</v>
          </cell>
        </row>
        <row r="24">
          <cell r="K24">
            <v>0.78888888888888897</v>
          </cell>
        </row>
        <row r="25">
          <cell r="K25">
            <v>0.82847222222222239</v>
          </cell>
        </row>
        <row r="26">
          <cell r="K26">
            <v>0.52361111111111125</v>
          </cell>
        </row>
        <row r="27">
          <cell r="K27">
            <v>0.57986111111111105</v>
          </cell>
        </row>
        <row r="28">
          <cell r="K28">
            <v>0.31874999999999998</v>
          </cell>
        </row>
        <row r="29">
          <cell r="K29">
            <v>0.32152777777777775</v>
          </cell>
        </row>
        <row r="30">
          <cell r="K30">
            <v>0.48491161616161615</v>
          </cell>
        </row>
        <row r="31">
          <cell r="K31">
            <v>-0.18124176548089596</v>
          </cell>
        </row>
        <row r="32">
          <cell r="K32">
            <v>-0.18124176548089596</v>
          </cell>
        </row>
        <row r="33">
          <cell r="K33">
            <v>-0.18124176548089596</v>
          </cell>
        </row>
      </sheetData>
      <sheetData sheetId="2">
        <row r="2">
          <cell r="F2" t="str">
            <v xml:space="preserve"> </v>
          </cell>
        </row>
        <row r="5">
          <cell r="K5">
            <v>1.0535833333333335</v>
          </cell>
        </row>
        <row r="6">
          <cell r="K6">
            <v>1.1480277777777781</v>
          </cell>
        </row>
        <row r="7">
          <cell r="K7">
            <v>1.4640000000000004</v>
          </cell>
        </row>
        <row r="8">
          <cell r="K8">
            <v>1.1716388888888893</v>
          </cell>
        </row>
        <row r="9">
          <cell r="K9">
            <v>0.90627777777777818</v>
          </cell>
        </row>
        <row r="10">
          <cell r="K10">
            <v>0.78694444444444478</v>
          </cell>
        </row>
        <row r="11">
          <cell r="K11">
            <v>0.88000000000000034</v>
          </cell>
        </row>
        <row r="12">
          <cell r="K12">
            <v>0.85916666666666708</v>
          </cell>
        </row>
        <row r="19">
          <cell r="E19" t="str">
            <v xml:space="preserve"> </v>
          </cell>
        </row>
        <row r="22">
          <cell r="K22">
            <v>0.39444444444444438</v>
          </cell>
        </row>
        <row r="23">
          <cell r="K23">
            <v>0.4499999999999999</v>
          </cell>
        </row>
        <row r="24">
          <cell r="K24">
            <v>0.30138888888888882</v>
          </cell>
        </row>
        <row r="25">
          <cell r="K25">
            <v>0.26527777777777772</v>
          </cell>
        </row>
        <row r="26">
          <cell r="K26">
            <v>0.36249999999999993</v>
          </cell>
        </row>
        <row r="27">
          <cell r="K27">
            <v>0.73472222222222217</v>
          </cell>
        </row>
        <row r="28">
          <cell r="K28">
            <v>0.59316666666666662</v>
          </cell>
        </row>
        <row r="29">
          <cell r="K29">
            <v>0.47372222222222216</v>
          </cell>
        </row>
        <row r="30">
          <cell r="K30">
            <v>0.60427777777777769</v>
          </cell>
        </row>
        <row r="31">
          <cell r="K31">
            <v>1.4146944444444445</v>
          </cell>
        </row>
        <row r="32">
          <cell r="K32">
            <v>1.3167777777777778</v>
          </cell>
        </row>
        <row r="33">
          <cell r="K33">
            <v>1.0160833333333334</v>
          </cell>
        </row>
      </sheetData>
      <sheetData sheetId="3">
        <row r="2">
          <cell r="F2" t="str">
            <v xml:space="preserve"> </v>
          </cell>
        </row>
        <row r="5">
          <cell r="K5">
            <v>0.81328282828282827</v>
          </cell>
        </row>
        <row r="6">
          <cell r="K6">
            <v>0.78133838383838383</v>
          </cell>
        </row>
        <row r="7">
          <cell r="K7">
            <v>0.68064393939393941</v>
          </cell>
        </row>
        <row r="8">
          <cell r="K8">
            <v>0.57231060606060602</v>
          </cell>
        </row>
        <row r="9">
          <cell r="K9">
            <v>0.58550505050505053</v>
          </cell>
        </row>
        <row r="10">
          <cell r="K10">
            <v>0.66467171717171714</v>
          </cell>
        </row>
        <row r="11">
          <cell r="K11">
            <v>0.52092171717171709</v>
          </cell>
        </row>
        <row r="12">
          <cell r="K12">
            <v>0.55286616161616153</v>
          </cell>
        </row>
        <row r="19">
          <cell r="E19" t="str">
            <v xml:space="preserve"> </v>
          </cell>
        </row>
        <row r="22">
          <cell r="K22">
            <v>0.40902777777777777</v>
          </cell>
        </row>
        <row r="23">
          <cell r="K23">
            <v>0.11944444444444446</v>
          </cell>
        </row>
        <row r="24">
          <cell r="K24">
            <v>9.5833333333333354E-2</v>
          </cell>
        </row>
        <row r="25">
          <cell r="K25">
            <v>9.444444444444447E-2</v>
          </cell>
        </row>
        <row r="26">
          <cell r="K26">
            <v>0.18055555555555558</v>
          </cell>
        </row>
        <row r="27">
          <cell r="K27">
            <v>0.26250000000000001</v>
          </cell>
        </row>
        <row r="28">
          <cell r="K28">
            <v>0.24652777777777779</v>
          </cell>
        </row>
        <row r="29">
          <cell r="K29">
            <v>0.35555555555555557</v>
          </cell>
        </row>
        <row r="30">
          <cell r="K30">
            <v>0.37994949494949493</v>
          </cell>
        </row>
        <row r="31">
          <cell r="K31">
            <v>0.37994949494949493</v>
          </cell>
        </row>
        <row r="32">
          <cell r="K32">
            <v>0.39661616161616159</v>
          </cell>
        </row>
        <row r="33">
          <cell r="K33">
            <v>0.2611994949494949</v>
          </cell>
        </row>
      </sheetData>
      <sheetData sheetId="4">
        <row r="2">
          <cell r="F2" t="str">
            <v xml:space="preserve"> </v>
          </cell>
        </row>
        <row r="5">
          <cell r="K5">
            <v>1.5696859903381644</v>
          </cell>
        </row>
        <row r="6">
          <cell r="K6">
            <v>1.4051026570048311</v>
          </cell>
        </row>
        <row r="7">
          <cell r="K7">
            <v>1.7599637681159421</v>
          </cell>
        </row>
        <row r="8">
          <cell r="K8">
            <v>1.8748447204968945</v>
          </cell>
        </row>
        <row r="9">
          <cell r="K9">
            <v>1.7074019100393782</v>
          </cell>
        </row>
        <row r="10">
          <cell r="K10">
            <v>1.4532352433727116</v>
          </cell>
        </row>
        <row r="11">
          <cell r="K11">
            <v>0.48379079892826704</v>
          </cell>
        </row>
        <row r="12">
          <cell r="K12">
            <v>0.58517968781715601</v>
          </cell>
        </row>
        <row r="19">
          <cell r="E19" t="str">
            <v xml:space="preserve"> </v>
          </cell>
        </row>
        <row r="22">
          <cell r="K22">
            <v>0.49696969696969695</v>
          </cell>
        </row>
        <row r="23">
          <cell r="K23">
            <v>0.14002525252525252</v>
          </cell>
        </row>
        <row r="24">
          <cell r="K24">
            <v>0.27256493506493507</v>
          </cell>
        </row>
        <row r="25">
          <cell r="K25">
            <v>0.3808982683982684</v>
          </cell>
        </row>
        <row r="26">
          <cell r="K26">
            <v>0.45659271284271286</v>
          </cell>
        </row>
        <row r="27">
          <cell r="K27">
            <v>0.64375000000000004</v>
          </cell>
        </row>
        <row r="28">
          <cell r="K28">
            <v>4.5138888888888951E-2</v>
          </cell>
        </row>
        <row r="29">
          <cell r="K29">
            <v>0.58819444444444446</v>
          </cell>
        </row>
        <row r="30">
          <cell r="K30">
            <v>0.83680555555555558</v>
          </cell>
        </row>
        <row r="31">
          <cell r="K31">
            <v>1.2030193236714977</v>
          </cell>
        </row>
        <row r="32">
          <cell r="K32">
            <v>1.0606582125603865</v>
          </cell>
        </row>
        <row r="33">
          <cell r="K33">
            <v>1.2085748792270532</v>
          </cell>
        </row>
      </sheetData>
      <sheetData sheetId="5">
        <row r="2">
          <cell r="F2" t="str">
            <v xml:space="preserve"> </v>
          </cell>
        </row>
        <row r="5">
          <cell r="K5">
            <v>0.6487725943646997</v>
          </cell>
        </row>
        <row r="6">
          <cell r="K6">
            <v>0.42793926103136637</v>
          </cell>
        </row>
        <row r="7">
          <cell r="K7">
            <v>0.51992158426368951</v>
          </cell>
        </row>
        <row r="8">
          <cell r="K8">
            <v>0.48103269537480065</v>
          </cell>
        </row>
        <row r="9">
          <cell r="K9">
            <v>0.45464380648591174</v>
          </cell>
        </row>
        <row r="10">
          <cell r="K10">
            <v>0.31468168527379053</v>
          </cell>
        </row>
        <row r="11">
          <cell r="K11">
            <v>0.24315390749601273</v>
          </cell>
        </row>
        <row r="12">
          <cell r="K12">
            <v>0.28809438368648893</v>
          </cell>
        </row>
        <row r="19">
          <cell r="E19" t="str">
            <v xml:space="preserve"> </v>
          </cell>
        </row>
        <row r="22">
          <cell r="K22">
            <v>0.54236111111111107</v>
          </cell>
        </row>
        <row r="23">
          <cell r="K23">
            <v>0.63611111111111107</v>
          </cell>
        </row>
        <row r="24">
          <cell r="K24">
            <v>0.67291666666666661</v>
          </cell>
        </row>
        <row r="25">
          <cell r="K25">
            <v>0.54861111111111105</v>
          </cell>
        </row>
        <row r="26">
          <cell r="K26">
            <v>0.52083333333333326</v>
          </cell>
        </row>
        <row r="27">
          <cell r="K27">
            <v>0.42986111111111114</v>
          </cell>
        </row>
        <row r="28">
          <cell r="K28">
            <v>0.19791666666666669</v>
          </cell>
        </row>
        <row r="29">
          <cell r="K29">
            <v>0.29236111111111113</v>
          </cell>
        </row>
        <row r="30">
          <cell r="K30">
            <v>0.19800505050505054</v>
          </cell>
        </row>
        <row r="31">
          <cell r="K31">
            <v>0.16258838383838389</v>
          </cell>
        </row>
        <row r="32">
          <cell r="K32">
            <v>0.28481060606060615</v>
          </cell>
        </row>
        <row r="33">
          <cell r="K33">
            <v>0.49043926103136637</v>
          </cell>
        </row>
      </sheetData>
      <sheetData sheetId="6">
        <row r="2">
          <cell r="F2" t="str">
            <v xml:space="preserve"> </v>
          </cell>
        </row>
        <row r="5">
          <cell r="K5">
            <v>1.4604166666666676</v>
          </cell>
        </row>
        <row r="6">
          <cell r="K6">
            <v>1.5104166666666676</v>
          </cell>
        </row>
        <row r="7">
          <cell r="K7">
            <v>1.31388888888889</v>
          </cell>
        </row>
        <row r="8">
          <cell r="K8">
            <v>1.3388888888888901</v>
          </cell>
        </row>
        <row r="9">
          <cell r="K9">
            <v>1.4368055555555568</v>
          </cell>
        </row>
        <row r="10">
          <cell r="K10">
            <v>1.2569444444444458</v>
          </cell>
        </row>
        <row r="11">
          <cell r="K11">
            <v>1.3256944444444458</v>
          </cell>
        </row>
        <row r="12">
          <cell r="K12">
            <v>1.4798611111111126</v>
          </cell>
        </row>
        <row r="19">
          <cell r="E19" t="str">
            <v xml:space="preserve"> </v>
          </cell>
        </row>
        <row r="22">
          <cell r="K22">
            <v>1.6861111111111109</v>
          </cell>
        </row>
        <row r="23">
          <cell r="K23">
            <v>1.6069444444444443</v>
          </cell>
        </row>
        <row r="24">
          <cell r="K24">
            <v>1.5194444444444444</v>
          </cell>
        </row>
        <row r="25">
          <cell r="K25">
            <v>1.4979166666666666</v>
          </cell>
        </row>
        <row r="26">
          <cell r="K26">
            <v>1.3812500000000001</v>
          </cell>
        </row>
        <row r="27">
          <cell r="K27">
            <v>1.6368055555555556</v>
          </cell>
        </row>
        <row r="28">
          <cell r="K28">
            <v>1.4826388888888891</v>
          </cell>
        </row>
        <row r="29">
          <cell r="K29">
            <v>1.4618055555555558</v>
          </cell>
        </row>
        <row r="30">
          <cell r="K30">
            <v>1.3465277777777782</v>
          </cell>
        </row>
        <row r="31">
          <cell r="K31">
            <v>1.4312500000000006</v>
          </cell>
        </row>
        <row r="32">
          <cell r="K32">
            <v>1.4708333333333341</v>
          </cell>
        </row>
        <row r="33">
          <cell r="K33">
            <v>1.5437500000000008</v>
          </cell>
        </row>
      </sheetData>
      <sheetData sheetId="7">
        <row r="2">
          <cell r="F2" t="str">
            <v xml:space="preserve"> </v>
          </cell>
        </row>
        <row r="5">
          <cell r="K5">
            <v>0.68837865497076023</v>
          </cell>
        </row>
        <row r="6">
          <cell r="K6">
            <v>0.7717119883040936</v>
          </cell>
        </row>
        <row r="7">
          <cell r="K7">
            <v>0.7717119883040936</v>
          </cell>
        </row>
        <row r="8">
          <cell r="K8">
            <v>0.885045321637427</v>
          </cell>
        </row>
        <row r="9">
          <cell r="K9">
            <v>1.0294897660818716</v>
          </cell>
        </row>
        <row r="10">
          <cell r="K10">
            <v>1.0294897660818716</v>
          </cell>
        </row>
        <row r="11">
          <cell r="K11">
            <v>0.90448976608187159</v>
          </cell>
        </row>
        <row r="12">
          <cell r="K12">
            <v>1.0301842105263161</v>
          </cell>
        </row>
        <row r="19">
          <cell r="E19" t="str">
            <v xml:space="preserve"> </v>
          </cell>
        </row>
        <row r="22">
          <cell r="K22">
            <v>0.46875</v>
          </cell>
        </row>
        <row r="23">
          <cell r="K23">
            <v>0.59375</v>
          </cell>
        </row>
        <row r="24">
          <cell r="K24">
            <v>0.74851190476190466</v>
          </cell>
        </row>
        <row r="25">
          <cell r="K25">
            <v>0.64226190476190459</v>
          </cell>
        </row>
        <row r="26">
          <cell r="K26">
            <v>0.68392857142857122</v>
          </cell>
        </row>
        <row r="27">
          <cell r="K27">
            <v>0.9458333333333333</v>
          </cell>
        </row>
        <row r="28">
          <cell r="K28">
            <v>0.49941666666666662</v>
          </cell>
        </row>
        <row r="29">
          <cell r="K29">
            <v>0.66608333333333336</v>
          </cell>
        </row>
        <row r="30">
          <cell r="K30">
            <v>0.7917777777777778</v>
          </cell>
        </row>
        <row r="31">
          <cell r="K31">
            <v>0.83413888888888887</v>
          </cell>
        </row>
        <row r="32">
          <cell r="K32">
            <v>0.74802777777777774</v>
          </cell>
        </row>
        <row r="33">
          <cell r="K33">
            <v>0.69323976608187132</v>
          </cell>
        </row>
      </sheetData>
      <sheetData sheetId="8">
        <row r="2">
          <cell r="F2" t="str">
            <v xml:space="preserve"> </v>
          </cell>
        </row>
        <row r="5">
          <cell r="K5">
            <v>1.8701388888888888</v>
          </cell>
        </row>
        <row r="6">
          <cell r="K6">
            <v>1.8701388888888888</v>
          </cell>
        </row>
        <row r="7">
          <cell r="K7">
            <v>1.8701388888888888</v>
          </cell>
        </row>
        <row r="8">
          <cell r="K8">
            <v>1.8701388888888888</v>
          </cell>
        </row>
        <row r="9">
          <cell r="K9">
            <v>1.3693055555555556</v>
          </cell>
        </row>
        <row r="10">
          <cell r="K10">
            <v>0.5443055555555556</v>
          </cell>
        </row>
        <row r="11">
          <cell r="K11">
            <v>0.35263888888888895</v>
          </cell>
        </row>
        <row r="12">
          <cell r="K12">
            <v>0.12000000000000005</v>
          </cell>
        </row>
        <row r="19">
          <cell r="E19">
            <v>0.50694444444444464</v>
          </cell>
        </row>
        <row r="22">
          <cell r="K22">
            <v>1.6784722222222224</v>
          </cell>
        </row>
        <row r="23">
          <cell r="K23">
            <v>1.3263888888888891</v>
          </cell>
        </row>
        <row r="24">
          <cell r="K24">
            <v>1.1763888888888892</v>
          </cell>
        </row>
        <row r="25">
          <cell r="K25">
            <v>1.4055555555555559</v>
          </cell>
        </row>
        <row r="26">
          <cell r="K26">
            <v>1.6201388888888892</v>
          </cell>
        </row>
        <row r="27">
          <cell r="K27">
            <v>1.8701388888888888</v>
          </cell>
        </row>
        <row r="28">
          <cell r="K28">
            <v>1.8701388888888888</v>
          </cell>
        </row>
        <row r="29">
          <cell r="K29">
            <v>1.8701388888888888</v>
          </cell>
        </row>
        <row r="30">
          <cell r="K30">
            <v>1.8701388888888888</v>
          </cell>
        </row>
        <row r="31">
          <cell r="K31">
            <v>1.8701388888888888</v>
          </cell>
        </row>
        <row r="32">
          <cell r="K32">
            <v>1.8701388888888888</v>
          </cell>
        </row>
        <row r="33">
          <cell r="K33">
            <v>1.8701388888888888</v>
          </cell>
        </row>
      </sheetData>
      <sheetData sheetId="9">
        <row r="2">
          <cell r="F2" t="str">
            <v xml:space="preserve"> </v>
          </cell>
        </row>
        <row r="5">
          <cell r="K5">
            <v>0.3609738691260429</v>
          </cell>
        </row>
        <row r="6">
          <cell r="K6">
            <v>0.3609738691260429</v>
          </cell>
        </row>
        <row r="7">
          <cell r="K7">
            <v>0.33944609134826514</v>
          </cell>
        </row>
        <row r="8">
          <cell r="K8">
            <v>0.36920799611016991</v>
          </cell>
        </row>
        <row r="9">
          <cell r="K9">
            <v>0.27823577388794768</v>
          </cell>
        </row>
        <row r="10">
          <cell r="K10">
            <v>0.21106405671623049</v>
          </cell>
        </row>
        <row r="11">
          <cell r="K11">
            <v>0.27733389798607178</v>
          </cell>
        </row>
        <row r="12">
          <cell r="K12">
            <v>0.26969500909718291</v>
          </cell>
        </row>
        <row r="19">
          <cell r="E19" t="str">
            <v xml:space="preserve"> </v>
          </cell>
        </row>
        <row r="22">
          <cell r="K22">
            <v>0.76111111111111107</v>
          </cell>
        </row>
        <row r="23">
          <cell r="K23">
            <v>0.74444444444444435</v>
          </cell>
        </row>
        <row r="24">
          <cell r="K24">
            <v>0.68472222222222212</v>
          </cell>
        </row>
        <row r="25">
          <cell r="K25">
            <v>0.74444444444444435</v>
          </cell>
        </row>
        <row r="26">
          <cell r="K26">
            <v>0.85763888888888884</v>
          </cell>
        </row>
        <row r="27">
          <cell r="K27">
            <v>1.1638888888888888</v>
          </cell>
        </row>
        <row r="28">
          <cell r="K28">
            <v>1.1007575757575756</v>
          </cell>
        </row>
        <row r="29">
          <cell r="K29">
            <v>1.1674242424242423</v>
          </cell>
        </row>
        <row r="30">
          <cell r="K30">
            <v>0.9468434343434341</v>
          </cell>
        </row>
        <row r="31">
          <cell r="K31">
            <v>0.92902942468159844</v>
          </cell>
        </row>
        <row r="32">
          <cell r="K32">
            <v>0.3609738691260429</v>
          </cell>
        </row>
        <row r="33">
          <cell r="K33">
            <v>0.3609738691260429</v>
          </cell>
        </row>
      </sheetData>
      <sheetData sheetId="10">
        <row r="2">
          <cell r="F2" t="str">
            <v xml:space="preserve"> </v>
          </cell>
        </row>
        <row r="5">
          <cell r="K5">
            <v>1.3208985507246376</v>
          </cell>
        </row>
        <row r="6">
          <cell r="K6">
            <v>1.484092995169082</v>
          </cell>
        </row>
        <row r="7">
          <cell r="K7">
            <v>0.96673188405797084</v>
          </cell>
        </row>
        <row r="8">
          <cell r="K8">
            <v>1.0035374396135264</v>
          </cell>
        </row>
        <row r="9">
          <cell r="K9">
            <v>0.88062077294685959</v>
          </cell>
        </row>
        <row r="10">
          <cell r="K10">
            <v>0.95700966183574843</v>
          </cell>
        </row>
        <row r="11">
          <cell r="K11">
            <v>1.1570096618357484</v>
          </cell>
        </row>
        <row r="12">
          <cell r="K12">
            <v>1.0590929951690817</v>
          </cell>
        </row>
        <row r="19">
          <cell r="E19" t="str">
            <v xml:space="preserve"> </v>
          </cell>
        </row>
        <row r="22">
          <cell r="K22">
            <v>1.0661616161616161</v>
          </cell>
        </row>
        <row r="23">
          <cell r="K23">
            <v>2.7272727272727254E-2</v>
          </cell>
        </row>
        <row r="24">
          <cell r="K24">
            <v>0.12657828282828282</v>
          </cell>
        </row>
        <row r="25">
          <cell r="K25">
            <v>0.27935606060606061</v>
          </cell>
        </row>
        <row r="26">
          <cell r="K26">
            <v>0.20018939393939394</v>
          </cell>
        </row>
        <row r="27">
          <cell r="K27">
            <v>0.56813888888888886</v>
          </cell>
        </row>
        <row r="28">
          <cell r="K28">
            <v>0.73272222222222227</v>
          </cell>
        </row>
        <row r="29">
          <cell r="K29">
            <v>0.93272222222222223</v>
          </cell>
        </row>
        <row r="30">
          <cell r="K30">
            <v>1.0986944444444444</v>
          </cell>
        </row>
        <row r="31">
          <cell r="K31">
            <v>0.95978743961352653</v>
          </cell>
        </row>
        <row r="32">
          <cell r="K32">
            <v>1.0188152173913043</v>
          </cell>
        </row>
        <row r="33">
          <cell r="K33">
            <v>1.1299263285024155</v>
          </cell>
        </row>
      </sheetData>
      <sheetData sheetId="11">
        <row r="2">
          <cell r="F2" t="str">
            <v xml:space="preserve"> </v>
          </cell>
        </row>
        <row r="5">
          <cell r="K5">
            <v>0.42947957839262196</v>
          </cell>
        </row>
        <row r="6">
          <cell r="K6">
            <v>0.39128513394817754</v>
          </cell>
        </row>
        <row r="7">
          <cell r="K7">
            <v>0.48932806324110684</v>
          </cell>
        </row>
        <row r="8">
          <cell r="K8">
            <v>0.61432806324110678</v>
          </cell>
        </row>
        <row r="9">
          <cell r="K9">
            <v>0.71519407631300225</v>
          </cell>
        </row>
        <row r="10">
          <cell r="K10">
            <v>0.61241629853522439</v>
          </cell>
        </row>
        <row r="11">
          <cell r="K11">
            <v>0.63463852075744664</v>
          </cell>
        </row>
        <row r="12">
          <cell r="K12">
            <v>0.44158296520189111</v>
          </cell>
        </row>
        <row r="19">
          <cell r="E19" t="str">
            <v xml:space="preserve"> </v>
          </cell>
        </row>
        <row r="22">
          <cell r="K22">
            <v>0.17013888888888887</v>
          </cell>
        </row>
        <row r="23">
          <cell r="K23">
            <v>0.17013888888888887</v>
          </cell>
        </row>
        <row r="24">
          <cell r="K24">
            <v>0.17013888888888887</v>
          </cell>
        </row>
        <row r="25">
          <cell r="K25">
            <v>0.17013888888888887</v>
          </cell>
        </row>
        <row r="26">
          <cell r="K26">
            <v>0.17013888888888887</v>
          </cell>
        </row>
        <row r="27">
          <cell r="K27">
            <v>0.48472222222222222</v>
          </cell>
        </row>
        <row r="28">
          <cell r="K28">
            <v>0.66041666666666665</v>
          </cell>
        </row>
        <row r="29">
          <cell r="K29">
            <v>0.59305555555555556</v>
          </cell>
        </row>
        <row r="30">
          <cell r="K30">
            <v>0.55858585858585852</v>
          </cell>
        </row>
        <row r="31">
          <cell r="K31">
            <v>0.52253513394817741</v>
          </cell>
        </row>
        <row r="32">
          <cell r="K32">
            <v>0.56559068950373304</v>
          </cell>
        </row>
        <row r="33">
          <cell r="K33">
            <v>0.3586462450592886</v>
          </cell>
        </row>
      </sheetData>
      <sheetData sheetId="12">
        <row r="2">
          <cell r="F2" t="str">
            <v xml:space="preserve"> </v>
          </cell>
        </row>
        <row r="5">
          <cell r="K5">
            <v>1.765366161616162</v>
          </cell>
        </row>
        <row r="6">
          <cell r="K6">
            <v>1.8584217171717174</v>
          </cell>
        </row>
        <row r="7">
          <cell r="K7">
            <v>2.2705429292929296</v>
          </cell>
        </row>
        <row r="8">
          <cell r="K8">
            <v>2.2406818181818187</v>
          </cell>
        </row>
        <row r="9">
          <cell r="K9">
            <v>2.092765151515152</v>
          </cell>
        </row>
        <row r="10">
          <cell r="K10">
            <v>1.9980681818181822</v>
          </cell>
        </row>
        <row r="11">
          <cell r="K11">
            <v>1.7883459595959601</v>
          </cell>
        </row>
        <row r="12">
          <cell r="K12">
            <v>1.8008459595959601</v>
          </cell>
        </row>
        <row r="19">
          <cell r="E19" t="str">
            <v xml:space="preserve"> </v>
          </cell>
        </row>
        <row r="22">
          <cell r="K22">
            <v>1.141540404040404</v>
          </cell>
        </row>
        <row r="23">
          <cell r="K23">
            <v>1.0200126262626263</v>
          </cell>
        </row>
        <row r="24">
          <cell r="K24">
            <v>0.99223484848484855</v>
          </cell>
        </row>
        <row r="25">
          <cell r="K25">
            <v>1.008901515151515</v>
          </cell>
        </row>
        <row r="26">
          <cell r="K26">
            <v>1.127651515151515</v>
          </cell>
        </row>
        <row r="27">
          <cell r="K27">
            <v>1.3458333333333337</v>
          </cell>
        </row>
        <row r="28">
          <cell r="K28">
            <v>1.1013888888888892</v>
          </cell>
        </row>
        <row r="29">
          <cell r="K29">
            <v>1.2437500000000004</v>
          </cell>
        </row>
        <row r="30">
          <cell r="K30">
            <v>1.2111994949494953</v>
          </cell>
        </row>
        <row r="31">
          <cell r="K31">
            <v>1.015366161616162</v>
          </cell>
        </row>
        <row r="32">
          <cell r="K32">
            <v>1.265366161616162</v>
          </cell>
        </row>
        <row r="33">
          <cell r="K33">
            <v>1.515366161616162</v>
          </cell>
        </row>
      </sheetData>
      <sheetData sheetId="13">
        <row r="6">
          <cell r="K6">
            <v>0.25</v>
          </cell>
        </row>
        <row r="7">
          <cell r="K7">
            <v>0.5</v>
          </cell>
        </row>
        <row r="8">
          <cell r="K8">
            <v>0.70833333333333326</v>
          </cell>
        </row>
        <row r="9">
          <cell r="K9">
            <v>0.73888888888888871</v>
          </cell>
        </row>
        <row r="10">
          <cell r="K10">
            <v>0.93611111111111089</v>
          </cell>
        </row>
        <row r="11">
          <cell r="K11">
            <v>0.97847222222222197</v>
          </cell>
        </row>
        <row r="12">
          <cell r="K12">
            <v>0.98819444444444415</v>
          </cell>
        </row>
      </sheetData>
      <sheetData sheetId="14">
        <row r="2">
          <cell r="F2" t="str">
            <v xml:space="preserve"> </v>
          </cell>
        </row>
        <row r="5">
          <cell r="K5">
            <v>1.221256038647343</v>
          </cell>
        </row>
        <row r="6">
          <cell r="K6">
            <v>0.94625603864734298</v>
          </cell>
        </row>
        <row r="7">
          <cell r="K7">
            <v>0.8726449275362318</v>
          </cell>
        </row>
        <row r="8">
          <cell r="K8">
            <v>1.0393115942028985</v>
          </cell>
        </row>
        <row r="9">
          <cell r="K9">
            <v>0.9422936203466894</v>
          </cell>
        </row>
        <row r="10">
          <cell r="K10">
            <v>0.92379614559921464</v>
          </cell>
        </row>
        <row r="11">
          <cell r="K11">
            <v>1.1737961455992147</v>
          </cell>
        </row>
        <row r="12">
          <cell r="K12">
            <v>1.1529628122658815</v>
          </cell>
        </row>
        <row r="19">
          <cell r="E19" t="str">
            <v xml:space="preserve"> </v>
          </cell>
        </row>
        <row r="22">
          <cell r="K22">
            <v>1.5652777777777775</v>
          </cell>
        </row>
        <row r="23">
          <cell r="K23">
            <v>1.3874999999999997</v>
          </cell>
        </row>
        <row r="24">
          <cell r="K24">
            <v>0.68749999999999967</v>
          </cell>
        </row>
        <row r="25">
          <cell r="K25">
            <v>0.81249999999999978</v>
          </cell>
        </row>
        <row r="26">
          <cell r="K26">
            <v>0.70138888888888862</v>
          </cell>
        </row>
        <row r="27">
          <cell r="K27">
            <v>1.2708333333333333</v>
          </cell>
        </row>
        <row r="28">
          <cell r="K28">
            <v>1.5208333333333333</v>
          </cell>
        </row>
        <row r="29">
          <cell r="K29">
            <v>1.7465277777777777</v>
          </cell>
        </row>
        <row r="30">
          <cell r="K30">
            <v>1.9694444444444443</v>
          </cell>
        </row>
        <row r="31">
          <cell r="K31">
            <v>1.9344504830917875</v>
          </cell>
        </row>
        <row r="32">
          <cell r="K32">
            <v>1.6566727053140098</v>
          </cell>
        </row>
        <row r="33">
          <cell r="K33">
            <v>1.403894927536232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4D56C6-6C09-4D21-9B39-34AA3E68732C}" name="Tableau13" displayName="Tableau13" ref="A1:N16" totalsRowShown="0">
  <autoFilter ref="A1:N16" xr:uid="{C7300799-99B8-4EB6-AE56-6C90EDB091F8}"/>
  <tableColumns count="14">
    <tableColumn id="1" xr3:uid="{46062588-7EEE-4EDC-9627-0F5A2DD64B07}" name="Agent"/>
    <tableColumn id="2" xr3:uid="{4E08601B-4E05-4BCC-8DCD-9A89A26DA476}" name="Solde 31/08" dataDxfId="13"/>
    <tableColumn id="7" xr3:uid="{CA9465E7-550D-4480-949B-161FD484C4B4}" name="Janvier" dataDxfId="12">
      <calculatedColumnFormula>[1]CARPENTIER!$K$5</calculatedColumnFormula>
    </tableColumn>
    <tableColumn id="8" xr3:uid="{1541CD56-25A5-4277-9DAA-B53E48FDAEFC}" name="Février" dataDxfId="11"/>
    <tableColumn id="5" xr3:uid="{89BD4E05-9AFB-4753-8F30-BD7CFBA20B53}" name="Mars" dataDxfId="10"/>
    <tableColumn id="6" xr3:uid="{827AC9BD-DE8A-43D4-84AC-F466CA9A961E}" name="Avril" dataDxfId="9"/>
    <tableColumn id="4" xr3:uid="{8F9939EE-B049-4062-A85A-1289BCFD2D70}" name="Mai" dataDxfId="8"/>
    <tableColumn id="3" xr3:uid="{20C8348F-041B-4DFD-8940-5F293AA2E6F1}" name="Juin" dataDxfId="7"/>
    <tableColumn id="9" xr3:uid="{422DE94E-09FA-4E89-8ED0-A79B15679A65}" name="Juillet" dataDxfId="6"/>
    <tableColumn id="10" xr3:uid="{6D19DC5B-5937-4528-B6CC-7C42BD5B4F1D}" name="Août" dataDxfId="5"/>
    <tableColumn id="11" xr3:uid="{687B8327-4D8E-4D1E-BB1B-DB330DCA72AC}" name="Septembre" dataDxfId="4"/>
    <tableColumn id="12" xr3:uid="{12F47F39-1ACB-404C-80A4-9A48856DD82B}" name="Octobre" dataDxfId="3"/>
    <tableColumn id="13" xr3:uid="{3E89A890-6329-49F3-88A5-69B7A155917F}" name="Novembre" dataDxfId="2"/>
    <tableColumn id="14" xr3:uid="{B563A417-44DB-4AEA-95ED-488D384111E1}" name="Décembr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00799-99B8-4EB6-AE56-6C90EDB091F8}" name="Tableau1" displayName="Tableau1" ref="A1:N16" totalsRowShown="0">
  <autoFilter ref="A1:N16" xr:uid="{C7300799-99B8-4EB6-AE56-6C90EDB091F8}"/>
  <tableColumns count="14">
    <tableColumn id="1" xr3:uid="{404799F8-EF23-44D1-82C6-A022BF0100EC}" name="Agent"/>
    <tableColumn id="2" xr3:uid="{49CF3DF7-B131-4BEE-BA09-2968034BDBF5}" name="Solde 31/08" dataDxfId="25"/>
    <tableColumn id="7" xr3:uid="{E374D505-F3A4-4A54-B661-7A811C5C6CF0}" name="Janvier" dataDxfId="24">
      <calculatedColumnFormula>[1]CARPENTIER!$K$5</calculatedColumnFormula>
    </tableColumn>
    <tableColumn id="8" xr3:uid="{9D8E114C-EE46-411F-8DB7-F007D2820209}" name="Février" dataDxfId="23"/>
    <tableColumn id="5" xr3:uid="{944F841B-7157-43A7-BBF4-EE37DB90304B}" name="Mars" dataDxfId="22"/>
    <tableColumn id="6" xr3:uid="{D6979E67-6E41-4D87-8E2F-C77EC9B86F1C}" name="Avril" dataDxfId="21"/>
    <tableColumn id="4" xr3:uid="{73890115-5FC3-4C52-9738-5535D8C89AA6}" name="Mai" dataDxfId="20"/>
    <tableColumn id="3" xr3:uid="{C3AD0FE6-38FB-4AF2-A2FC-CD8C6AF1D34A}" name="Juin" dataDxfId="19"/>
    <tableColumn id="9" xr3:uid="{2CF88554-1C99-48F6-A58C-B366489DC66A}" name="Juillet" dataDxfId="18"/>
    <tableColumn id="10" xr3:uid="{92839190-8610-4DAD-9F46-735A99F92CBC}" name="Août" dataDxfId="0"/>
    <tableColumn id="11" xr3:uid="{29BF599E-3D07-4D08-9AF4-0E200B9474AF}" name="Septembre" dataDxfId="17"/>
    <tableColumn id="12" xr3:uid="{69B209A5-8270-436F-A131-3A88CE5DD18E}" name="Octobre" dataDxfId="16"/>
    <tableColumn id="13" xr3:uid="{5495805F-AD9C-4F16-87DB-C13BD64B4392}" name="Novembre" dataDxfId="15"/>
    <tableColumn id="14" xr3:uid="{4BC933CC-966E-4C7C-A940-6828309FC481}" name="Décembr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47BC-CADB-4DDB-BB00-80F8BA5A8B8A}">
  <dimension ref="A1:N16"/>
  <sheetViews>
    <sheetView zoomScale="150" zoomScaleNormal="150" workbookViewId="0">
      <selection activeCell="J21" sqref="J21"/>
    </sheetView>
  </sheetViews>
  <sheetFormatPr baseColWidth="10" defaultColWidth="9.140625" defaultRowHeight="15" x14ac:dyDescent="0.25"/>
  <cols>
    <col min="1" max="1" width="23.140625" bestFit="1" customWidth="1"/>
    <col min="2" max="2" width="13.5703125" bestFit="1" customWidth="1"/>
    <col min="3" max="4" width="9.5703125" bestFit="1" customWidth="1"/>
    <col min="5" max="5" width="7.7109375" bestFit="1" customWidth="1"/>
    <col min="6" max="6" width="7.42578125" bestFit="1" customWidth="1"/>
    <col min="7" max="7" width="6.7109375" bestFit="1" customWidth="1"/>
    <col min="8" max="8" width="6.85546875" bestFit="1" customWidth="1"/>
    <col min="9" max="9" width="8.7109375" bestFit="1" customWidth="1"/>
    <col min="10" max="10" width="7.5703125" bestFit="1" customWidth="1"/>
    <col min="11" max="11" width="13.140625" bestFit="1" customWidth="1"/>
    <col min="12" max="12" width="10.42578125" bestFit="1" customWidth="1"/>
    <col min="13" max="13" width="12.7109375" bestFit="1" customWidth="1"/>
    <col min="14" max="14" width="12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 t="str">
        <f>[1]CARPENTIER!$E$19</f>
        <v xml:space="preserve"> </v>
      </c>
      <c r="C2" s="1">
        <f>[1]CARPENTIER!$K$22</f>
        <v>0.40694444444444444</v>
      </c>
      <c r="D2" s="1">
        <f>[1]CARPENTIER!$K$23</f>
        <v>0.36180555555555555</v>
      </c>
      <c r="E2" s="1">
        <f>[1]CARPENTIER!$K$24</f>
        <v>0.36775793650793653</v>
      </c>
      <c r="F2" s="1">
        <f>[1]CARPENTIER!$K$25</f>
        <v>8.2341269841269854E-2</v>
      </c>
      <c r="G2" s="1">
        <f>[1]CARPENTIER!$K$26</f>
        <v>3.6507936507936517E-2</v>
      </c>
      <c r="H2" s="1">
        <f>[1]CARPENTIER!$K$27</f>
        <v>0.32708333333333328</v>
      </c>
      <c r="I2" s="1">
        <f>[1]CARPENTIER!$K$28</f>
        <v>0.2517676767676767</v>
      </c>
      <c r="J2" s="1">
        <f>[1]CARPENTIER!$K$29</f>
        <v>0.46010101010101001</v>
      </c>
      <c r="K2" s="1">
        <f>[1]CARPENTIER!$K$30</f>
        <v>0.14589646464646455</v>
      </c>
      <c r="L2" s="1">
        <f>[1]CARPENTIER!$K$31</f>
        <v>0.15561868686868677</v>
      </c>
      <c r="M2" s="1">
        <f>[1]CARPENTIER!$K$32</f>
        <v>0.102840909090909</v>
      </c>
      <c r="N2" s="1">
        <f>[1]CARPENTIER!$K$33</f>
        <v>0.20145202020202013</v>
      </c>
    </row>
    <row r="3" spans="1:14" x14ac:dyDescent="0.25">
      <c r="A3" t="s">
        <v>15</v>
      </c>
      <c r="B3" s="1" t="str">
        <f>[1]DAIX!$E$19</f>
        <v xml:space="preserve"> </v>
      </c>
      <c r="C3" s="1">
        <f>[1]DAIX!$K$22</f>
        <v>0.56666666666666665</v>
      </c>
      <c r="D3" s="1">
        <f>[1]DAIX!$K$23</f>
        <v>0.67638888888888893</v>
      </c>
      <c r="E3" s="1">
        <f>[1]DAIX!$K$24</f>
        <v>0.78888888888888897</v>
      </c>
      <c r="F3" s="1">
        <f>[1]DAIX!$K$25</f>
        <v>0.82847222222222239</v>
      </c>
      <c r="G3" s="1">
        <f>[1]DAIX!$K$26</f>
        <v>0.52361111111111125</v>
      </c>
      <c r="H3" s="1">
        <f>[1]DAIX!$K$27</f>
        <v>0.57986111111111105</v>
      </c>
      <c r="I3" s="1">
        <f>[1]DAIX!$K$28</f>
        <v>0.31874999999999998</v>
      </c>
      <c r="J3" s="1">
        <f>[1]DAIX!$K$29</f>
        <v>0.32152777777777775</v>
      </c>
      <c r="K3" s="1">
        <f>[1]DAIX!$K$30</f>
        <v>0.48491161616161615</v>
      </c>
      <c r="L3" s="1">
        <f>[1]DAIX!$K$31</f>
        <v>-0.18124176548089596</v>
      </c>
      <c r="M3" s="1">
        <f>[1]DAIX!$K$32</f>
        <v>-0.18124176548089596</v>
      </c>
      <c r="N3" s="1">
        <f>[1]DAIX!$K$33</f>
        <v>-0.18124176548089596</v>
      </c>
    </row>
    <row r="4" spans="1:14" x14ac:dyDescent="0.25">
      <c r="A4" t="s">
        <v>16</v>
      </c>
      <c r="B4" s="1" t="str">
        <f>'[1]DE LUCIA'!$E$19</f>
        <v xml:space="preserve"> </v>
      </c>
      <c r="C4" s="1">
        <f>'[1]DE LUCIA'!$K$22</f>
        <v>0.39444444444444438</v>
      </c>
      <c r="D4" s="1">
        <f>'[1]DE LUCIA'!$K$23</f>
        <v>0.4499999999999999</v>
      </c>
      <c r="E4" s="1">
        <f>'[1]DE LUCIA'!$K$24</f>
        <v>0.30138888888888882</v>
      </c>
      <c r="F4" s="1">
        <f>'[1]DE LUCIA'!$K$25</f>
        <v>0.26527777777777772</v>
      </c>
      <c r="G4" s="1">
        <f>'[1]DE LUCIA'!$K$26</f>
        <v>0.36249999999999993</v>
      </c>
      <c r="H4" s="1">
        <f>'[1]DE LUCIA'!$K$27</f>
        <v>0.73472222222222217</v>
      </c>
      <c r="I4" s="1">
        <f>'[1]DE LUCIA'!$K$28</f>
        <v>0.59316666666666662</v>
      </c>
      <c r="J4" s="1">
        <f>'[1]DE LUCIA'!$K$29</f>
        <v>0.47372222222222216</v>
      </c>
      <c r="K4" s="1">
        <f>'[1]DE LUCIA'!$K$30</f>
        <v>0.60427777777777769</v>
      </c>
      <c r="L4" s="1">
        <f>'[1]DE LUCIA'!$K$31</f>
        <v>1.4146944444444445</v>
      </c>
      <c r="M4" s="1">
        <f>'[1]DE LUCIA'!$K$32</f>
        <v>1.3167777777777778</v>
      </c>
      <c r="N4" s="1">
        <f>'[1]DE LUCIA'!$K$33</f>
        <v>1.0160833333333334</v>
      </c>
    </row>
    <row r="5" spans="1:14" x14ac:dyDescent="0.25">
      <c r="A5" t="s">
        <v>17</v>
      </c>
      <c r="B5" s="1" t="str">
        <f>[1]DENIS!$E$19</f>
        <v xml:space="preserve"> </v>
      </c>
      <c r="C5" s="1">
        <f>[1]DENIS!$K$22</f>
        <v>0.40902777777777777</v>
      </c>
      <c r="D5" s="1">
        <f>[1]DENIS!$K$23</f>
        <v>0.11944444444444446</v>
      </c>
      <c r="E5" s="1">
        <f>[1]DENIS!$K$24</f>
        <v>9.5833333333333354E-2</v>
      </c>
      <c r="F5" s="1">
        <f>[1]DENIS!$K$25</f>
        <v>9.444444444444447E-2</v>
      </c>
      <c r="G5" s="1">
        <f>[1]DENIS!$K$26</f>
        <v>0.18055555555555558</v>
      </c>
      <c r="H5" s="1">
        <f>[1]DENIS!$K$27</f>
        <v>0.26250000000000001</v>
      </c>
      <c r="I5" s="1">
        <f>[1]DENIS!$K$28</f>
        <v>0.24652777777777779</v>
      </c>
      <c r="J5" s="1">
        <f>[1]DENIS!$K$29</f>
        <v>0.35555555555555557</v>
      </c>
      <c r="K5" s="1">
        <f>[1]DENIS!$K$30</f>
        <v>0.37994949494949493</v>
      </c>
      <c r="L5" s="1">
        <f>[1]DENIS!$K$31</f>
        <v>0.37994949494949493</v>
      </c>
      <c r="M5" s="1">
        <f>[1]DENIS!$K$32</f>
        <v>0.39661616161616159</v>
      </c>
      <c r="N5" s="1">
        <f>[1]DENIS!$K$33</f>
        <v>0.2611994949494949</v>
      </c>
    </row>
    <row r="6" spans="1:14" x14ac:dyDescent="0.25">
      <c r="A6" t="s">
        <v>18</v>
      </c>
      <c r="B6" s="1" t="str">
        <f>[1]DEROY!$E$19</f>
        <v xml:space="preserve"> </v>
      </c>
      <c r="C6" s="1">
        <f>[1]DEROY!$K$22</f>
        <v>0.49696969696969695</v>
      </c>
      <c r="D6" s="1">
        <f>[1]DEROY!$K$23</f>
        <v>0.14002525252525252</v>
      </c>
      <c r="E6" s="1">
        <f>[1]DEROY!$K$24</f>
        <v>0.27256493506493507</v>
      </c>
      <c r="F6" s="1">
        <f>[1]DEROY!$K$25</f>
        <v>0.3808982683982684</v>
      </c>
      <c r="G6" s="1">
        <f>[1]DEROY!$K$26</f>
        <v>0.45659271284271286</v>
      </c>
      <c r="H6" s="1">
        <f>[1]DEROY!$K$27</f>
        <v>0.64375000000000004</v>
      </c>
      <c r="I6" s="1">
        <f>[1]DEROY!$K$28</f>
        <v>4.5138888888888951E-2</v>
      </c>
      <c r="J6" s="1">
        <f>[1]DEROY!$K$29</f>
        <v>0.58819444444444446</v>
      </c>
      <c r="K6" s="1">
        <f>[1]DEROY!$K$30</f>
        <v>0.83680555555555558</v>
      </c>
      <c r="L6" s="1">
        <f>[1]DEROY!$K$31</f>
        <v>1.2030193236714977</v>
      </c>
      <c r="M6" s="1">
        <f>[1]DEROY!$K$32</f>
        <v>1.0606582125603865</v>
      </c>
      <c r="N6" s="1">
        <f>[1]DEROY!$K$33</f>
        <v>1.2085748792270532</v>
      </c>
    </row>
    <row r="7" spans="1:14" x14ac:dyDescent="0.25">
      <c r="A7" t="s">
        <v>19</v>
      </c>
      <c r="B7" s="1" t="str">
        <f>[1]DJEUKOUA!$E$19</f>
        <v xml:space="preserve"> </v>
      </c>
      <c r="C7" s="1">
        <f>[1]DJEUKOUA!$K$22</f>
        <v>0.54236111111111107</v>
      </c>
      <c r="D7" s="1">
        <f>[1]DJEUKOUA!$K$23</f>
        <v>0.63611111111111107</v>
      </c>
      <c r="E7" s="1">
        <f>[1]DJEUKOUA!$K$24</f>
        <v>0.67291666666666661</v>
      </c>
      <c r="F7" s="1">
        <f>[1]DJEUKOUA!$K$25</f>
        <v>0.54861111111111105</v>
      </c>
      <c r="G7" s="1">
        <f>[1]DJEUKOUA!$K$26</f>
        <v>0.52083333333333326</v>
      </c>
      <c r="H7" s="1">
        <f>[1]DJEUKOUA!$K$27</f>
        <v>0.42986111111111114</v>
      </c>
      <c r="I7" s="1">
        <f>[1]DJEUKOUA!$K$28</f>
        <v>0.19791666666666669</v>
      </c>
      <c r="J7" s="1">
        <f>[1]DJEUKOUA!$K$29</f>
        <v>0.29236111111111113</v>
      </c>
      <c r="K7" s="1">
        <f>[1]DJEUKOUA!$K$30</f>
        <v>0.19800505050505054</v>
      </c>
      <c r="L7" s="1">
        <f>[1]DJEUKOUA!$K$31</f>
        <v>0.16258838383838389</v>
      </c>
      <c r="M7" s="1">
        <f>[1]DJEUKOUA!$K$32</f>
        <v>0.28481060606060615</v>
      </c>
      <c r="N7" s="1">
        <f>[1]DJEUKOUA!$K$33</f>
        <v>0.49043926103136637</v>
      </c>
    </row>
    <row r="8" spans="1:14" x14ac:dyDescent="0.25">
      <c r="A8" t="s">
        <v>20</v>
      </c>
      <c r="B8" s="1" t="str">
        <f>[1]HIDALGO!$E$19</f>
        <v xml:space="preserve"> </v>
      </c>
      <c r="C8" s="1">
        <f>[1]HIDALGO!$K$22</f>
        <v>1.6861111111111109</v>
      </c>
      <c r="D8" s="1">
        <f>[1]HIDALGO!$K$23</f>
        <v>1.6069444444444443</v>
      </c>
      <c r="E8" s="1">
        <f>[1]HIDALGO!$K$24</f>
        <v>1.5194444444444444</v>
      </c>
      <c r="F8" s="1">
        <f>[1]HIDALGO!$K$25</f>
        <v>1.4979166666666666</v>
      </c>
      <c r="G8" s="1">
        <f>[1]HIDALGO!$K$26</f>
        <v>1.3812500000000001</v>
      </c>
      <c r="H8" s="1">
        <f>[1]HIDALGO!$K$27</f>
        <v>1.6368055555555556</v>
      </c>
      <c r="I8" s="1">
        <f>[1]HIDALGO!$K$28</f>
        <v>1.4826388888888891</v>
      </c>
      <c r="J8" s="1">
        <f>[1]HIDALGO!$K$29</f>
        <v>1.4618055555555558</v>
      </c>
      <c r="K8" s="1">
        <f>[1]HIDALGO!$K$30</f>
        <v>1.3465277777777782</v>
      </c>
      <c r="L8" s="1">
        <f>[1]HIDALGO!$K$31</f>
        <v>1.4312500000000006</v>
      </c>
      <c r="M8" s="1">
        <f>[1]HIDALGO!$K$32</f>
        <v>1.4708333333333341</v>
      </c>
      <c r="N8" s="1">
        <f>[1]HIDALGO!$K$33</f>
        <v>1.5437500000000008</v>
      </c>
    </row>
    <row r="9" spans="1:14" x14ac:dyDescent="0.25">
      <c r="A9" t="s">
        <v>21</v>
      </c>
      <c r="B9" s="1" t="str">
        <f>[1]LOGIST!$E$19</f>
        <v xml:space="preserve"> </v>
      </c>
      <c r="C9" s="1">
        <f>[1]LOGIST!$K$22</f>
        <v>0.46875</v>
      </c>
      <c r="D9" s="1">
        <f>[1]LOGIST!$K$23</f>
        <v>0.59375</v>
      </c>
      <c r="E9" s="1">
        <f>[1]LOGIST!$K$24</f>
        <v>0.74851190476190466</v>
      </c>
      <c r="F9" s="1">
        <f>[1]LOGIST!$K$25</f>
        <v>0.64226190476190459</v>
      </c>
      <c r="G9" s="1">
        <f>[1]LOGIST!$K$26</f>
        <v>0.68392857142857122</v>
      </c>
      <c r="H9" s="1">
        <f>[1]LOGIST!$K$27</f>
        <v>0.9458333333333333</v>
      </c>
      <c r="I9" s="1">
        <f>[1]LOGIST!$K$28</f>
        <v>0.49941666666666662</v>
      </c>
      <c r="J9" s="1">
        <f>[1]LOGIST!$K$29</f>
        <v>0.66608333333333336</v>
      </c>
      <c r="K9" s="1">
        <f>[1]LOGIST!$K$30</f>
        <v>0.7917777777777778</v>
      </c>
      <c r="L9" s="1">
        <f>[1]LOGIST!$K$31</f>
        <v>0.83413888888888887</v>
      </c>
      <c r="M9" s="1">
        <f>[1]LOGIST!$K$32</f>
        <v>0.74802777777777774</v>
      </c>
      <c r="N9" s="1">
        <f>[1]LOGIST!$K$33</f>
        <v>0.69323976608187132</v>
      </c>
    </row>
    <row r="10" spans="1:14" x14ac:dyDescent="0.25">
      <c r="A10" t="s">
        <v>22</v>
      </c>
      <c r="B10" s="1">
        <f>[1]MARTINOT!$E$19</f>
        <v>0.50694444444444464</v>
      </c>
      <c r="C10" s="1">
        <f>[1]MARTINOT!$K$22</f>
        <v>1.6784722222222224</v>
      </c>
      <c r="D10" s="1">
        <f>[1]MARTINOT!$K$23</f>
        <v>1.3263888888888891</v>
      </c>
      <c r="E10" s="1">
        <f>[1]MARTINOT!$K$24</f>
        <v>1.1763888888888892</v>
      </c>
      <c r="F10" s="1">
        <f>[1]MARTINOT!$K$25</f>
        <v>1.4055555555555559</v>
      </c>
      <c r="G10" s="1">
        <f>[1]MARTINOT!$K$26</f>
        <v>1.6201388888888892</v>
      </c>
      <c r="H10" s="1">
        <f>[1]MARTINOT!$K$27</f>
        <v>1.8701388888888888</v>
      </c>
      <c r="I10" s="1">
        <f>[1]MARTINOT!$K$28</f>
        <v>1.8701388888888888</v>
      </c>
      <c r="J10" s="1">
        <f>[1]MARTINOT!$K$29</f>
        <v>1.8701388888888888</v>
      </c>
      <c r="K10" s="1">
        <f>[1]MARTINOT!$K$30</f>
        <v>1.8701388888888888</v>
      </c>
      <c r="L10" s="1">
        <f>[1]MARTINOT!$K$31</f>
        <v>1.8701388888888888</v>
      </c>
      <c r="M10" s="1">
        <f>[1]MARTINOT!$K$32</f>
        <v>1.8701388888888888</v>
      </c>
      <c r="N10" s="1">
        <f>[1]MARTINOT!$K$33</f>
        <v>1.8701388888888888</v>
      </c>
    </row>
    <row r="11" spans="1:14" x14ac:dyDescent="0.25">
      <c r="A11" t="s">
        <v>23</v>
      </c>
      <c r="B11" s="1" t="str">
        <f>[1]POURLIER!$E$19</f>
        <v xml:space="preserve"> </v>
      </c>
      <c r="C11" s="1">
        <f>[1]POURLIER!$K$22</f>
        <v>0.76111111111111107</v>
      </c>
      <c r="D11" s="1">
        <f>[1]POURLIER!$K$23</f>
        <v>0.74444444444444435</v>
      </c>
      <c r="E11" s="1">
        <f>[1]POURLIER!$K$24</f>
        <v>0.68472222222222212</v>
      </c>
      <c r="F11" s="1">
        <f>[1]POURLIER!$K$25</f>
        <v>0.74444444444444435</v>
      </c>
      <c r="G11" s="1">
        <f>[1]POURLIER!$K$26</f>
        <v>0.85763888888888884</v>
      </c>
      <c r="H11" s="1">
        <f>[1]POURLIER!$K$27</f>
        <v>1.1638888888888888</v>
      </c>
      <c r="I11" s="1">
        <f>[1]POURLIER!$K$28</f>
        <v>1.1007575757575756</v>
      </c>
      <c r="J11" s="1">
        <f>[1]POURLIER!$K$29</f>
        <v>1.1674242424242423</v>
      </c>
      <c r="K11" s="1">
        <f>[1]POURLIER!$K$30</f>
        <v>0.9468434343434341</v>
      </c>
      <c r="L11" s="1">
        <f>[1]POURLIER!$K$31</f>
        <v>0.92902942468159844</v>
      </c>
      <c r="M11" s="1">
        <f>[1]POURLIER!$K$32</f>
        <v>0.3609738691260429</v>
      </c>
      <c r="N11" s="1">
        <f>[1]POURLIER!$K$33</f>
        <v>0.3609738691260429</v>
      </c>
    </row>
    <row r="12" spans="1:14" x14ac:dyDescent="0.25">
      <c r="A12" t="s">
        <v>24</v>
      </c>
      <c r="B12" s="1" t="str">
        <f>[1]SEVRIN!$E$19</f>
        <v xml:space="preserve"> </v>
      </c>
      <c r="C12" s="1">
        <f>[1]SEVRIN!$K$22</f>
        <v>1.0661616161616161</v>
      </c>
      <c r="D12" s="1">
        <f>[1]SEVRIN!$K$23</f>
        <v>2.7272727272727254E-2</v>
      </c>
      <c r="E12" s="1">
        <f>[1]SEVRIN!$K$24</f>
        <v>0.12657828282828282</v>
      </c>
      <c r="F12" s="1">
        <f>[1]SEVRIN!$K$25</f>
        <v>0.27935606060606061</v>
      </c>
      <c r="G12" s="1">
        <f>[1]SEVRIN!$K$26</f>
        <v>0.20018939393939394</v>
      </c>
      <c r="H12" s="1">
        <f>[1]SEVRIN!$K$27</f>
        <v>0.56813888888888886</v>
      </c>
      <c r="I12" s="1">
        <f>[1]SEVRIN!$K$28</f>
        <v>0.73272222222222227</v>
      </c>
      <c r="J12" s="1">
        <f>[1]SEVRIN!$K$29</f>
        <v>0.93272222222222223</v>
      </c>
      <c r="K12" s="1">
        <f>[1]SEVRIN!$K$30</f>
        <v>1.0986944444444444</v>
      </c>
      <c r="L12" s="1">
        <f>[1]SEVRIN!$K$31</f>
        <v>0.95978743961352653</v>
      </c>
      <c r="M12" s="1">
        <f>[1]SEVRIN!$K$32</f>
        <v>1.0188152173913043</v>
      </c>
      <c r="N12" s="1">
        <f>[1]SEVRIN!$K$33</f>
        <v>1.1299263285024155</v>
      </c>
    </row>
    <row r="13" spans="1:14" x14ac:dyDescent="0.25">
      <c r="A13" t="s">
        <v>25</v>
      </c>
      <c r="B13" s="1" t="str">
        <f>[1]VANDENBOSCH!$E$19</f>
        <v xml:space="preserve"> </v>
      </c>
      <c r="C13" s="1">
        <f>[1]VANDENBOSCH!$K$22</f>
        <v>0.17013888888888887</v>
      </c>
      <c r="D13" s="1">
        <f>[1]VANDENBOSCH!$K$23</f>
        <v>0.17013888888888887</v>
      </c>
      <c r="E13" s="1">
        <f>[1]VANDENBOSCH!$K$24</f>
        <v>0.17013888888888887</v>
      </c>
      <c r="F13" s="1">
        <f>[1]VANDENBOSCH!$K$25</f>
        <v>0.17013888888888887</v>
      </c>
      <c r="G13" s="1">
        <f>[1]VANDENBOSCH!$K$26</f>
        <v>0.17013888888888887</v>
      </c>
      <c r="H13" s="1">
        <f>[1]VANDENBOSCH!$K$27</f>
        <v>0.48472222222222222</v>
      </c>
      <c r="I13" s="1">
        <f>[1]VANDENBOSCH!$K$28</f>
        <v>0.66041666666666665</v>
      </c>
      <c r="J13" s="1">
        <f>[1]VANDENBOSCH!$K$29</f>
        <v>0.59305555555555556</v>
      </c>
      <c r="K13" s="1">
        <f>[1]VANDENBOSCH!$K$30</f>
        <v>0.55858585858585852</v>
      </c>
      <c r="L13" s="1">
        <f>[1]VANDENBOSCH!$K$31</f>
        <v>0.52253513394817741</v>
      </c>
      <c r="M13" s="1">
        <f>[1]VANDENBOSCH!$K$32</f>
        <v>0.56559068950373304</v>
      </c>
      <c r="N13" s="1">
        <f>[1]VANDENBOSCH!$K$33</f>
        <v>0.3586462450592886</v>
      </c>
    </row>
    <row r="14" spans="1:14" x14ac:dyDescent="0.25">
      <c r="A14" t="s">
        <v>26</v>
      </c>
      <c r="B14" s="1" t="str">
        <f>[1]VILCHES!$E$19</f>
        <v xml:space="preserve"> </v>
      </c>
      <c r="C14" s="1">
        <f>[1]VILCHES!$K$22</f>
        <v>1.141540404040404</v>
      </c>
      <c r="D14" s="1">
        <f>[1]VILCHES!$K$23</f>
        <v>1.0200126262626263</v>
      </c>
      <c r="E14" s="1">
        <f>[1]VILCHES!$K$24</f>
        <v>0.99223484848484855</v>
      </c>
      <c r="F14" s="1">
        <f>[1]VILCHES!$K$25</f>
        <v>1.008901515151515</v>
      </c>
      <c r="G14" s="1">
        <f>[1]VILCHES!$K$26</f>
        <v>1.127651515151515</v>
      </c>
      <c r="H14" s="1">
        <f>[1]VILCHES!$K$27</f>
        <v>1.3458333333333337</v>
      </c>
      <c r="I14" s="1">
        <f>[1]VILCHES!$K$28</f>
        <v>1.1013888888888892</v>
      </c>
      <c r="J14" s="1">
        <f>[1]VILCHES!$K$29</f>
        <v>1.2437500000000004</v>
      </c>
      <c r="K14" s="1">
        <f>[1]VILCHES!$K$30</f>
        <v>1.2111994949494953</v>
      </c>
      <c r="L14" s="1">
        <f>[1]VILCHES!$K$31</f>
        <v>1.015366161616162</v>
      </c>
      <c r="M14" s="1">
        <f>[1]VILCHES!$K$32</f>
        <v>1.265366161616162</v>
      </c>
      <c r="N14" s="1">
        <f>[1]VILCHES!$K$33</f>
        <v>1.515366161616162</v>
      </c>
    </row>
    <row r="15" spans="1:14" x14ac:dyDescent="0.25">
      <c r="A15" t="s">
        <v>27</v>
      </c>
      <c r="B15" s="1">
        <f>[1]VITARELLA!$E$19</f>
        <v>0</v>
      </c>
      <c r="C15" s="1">
        <f>[1]VITARELLA!$K$22</f>
        <v>0</v>
      </c>
      <c r="D15" s="1">
        <f>[1]VITARELLA!$K$23</f>
        <v>0</v>
      </c>
      <c r="E15" s="1">
        <f>[1]VITARELLA!$K$24</f>
        <v>0</v>
      </c>
      <c r="F15" s="1">
        <f>[1]VITARELLA!$K$25</f>
        <v>0</v>
      </c>
      <c r="G15" s="1">
        <f>[1]VITARELLA!$K$26</f>
        <v>0</v>
      </c>
      <c r="H15" s="1">
        <f>[1]VITARELLA!$K$27</f>
        <v>0</v>
      </c>
      <c r="I15" s="1">
        <f>[1]VITARELLA!$K$28</f>
        <v>0</v>
      </c>
      <c r="J15" s="1">
        <f>[1]VITARELLA!$K$29</f>
        <v>0</v>
      </c>
      <c r="K15" s="1">
        <f>[1]VITARELLA!$K$30</f>
        <v>0</v>
      </c>
      <c r="L15" s="1">
        <f>[1]VITARELLA!$K$31</f>
        <v>0</v>
      </c>
      <c r="M15" s="1">
        <f>[1]VITARELLA!$K$32</f>
        <v>0</v>
      </c>
      <c r="N15" s="1">
        <f>[1]VITARELLA!$K$33</f>
        <v>0</v>
      </c>
    </row>
    <row r="16" spans="1:14" x14ac:dyDescent="0.25">
      <c r="A16" t="s">
        <v>28</v>
      </c>
      <c r="B16" s="1" t="str">
        <f>[1]WAUTHELET!$E$19</f>
        <v xml:space="preserve"> </v>
      </c>
      <c r="C16" s="1">
        <f>[1]WAUTHELET!$K$22</f>
        <v>1.5652777777777775</v>
      </c>
      <c r="D16" s="1">
        <f>[1]WAUTHELET!$K$23</f>
        <v>1.3874999999999997</v>
      </c>
      <c r="E16" s="1">
        <f>[1]WAUTHELET!$K$24</f>
        <v>0.68749999999999967</v>
      </c>
      <c r="F16" s="1">
        <f>[1]WAUTHELET!$K$25</f>
        <v>0.81249999999999978</v>
      </c>
      <c r="G16" s="1">
        <f>[1]WAUTHELET!$K$26</f>
        <v>0.70138888888888862</v>
      </c>
      <c r="H16" s="1">
        <f>[1]WAUTHELET!$K$27</f>
        <v>1.2708333333333333</v>
      </c>
      <c r="I16" s="1">
        <f>[1]WAUTHELET!$K$28</f>
        <v>1.5208333333333333</v>
      </c>
      <c r="J16" s="1">
        <f>[1]WAUTHELET!$K$29</f>
        <v>1.7465277777777777</v>
      </c>
      <c r="K16" s="1">
        <f>[1]WAUTHELET!$K$30</f>
        <v>1.9694444444444443</v>
      </c>
      <c r="L16" s="1">
        <f>[1]WAUTHELET!$K$31</f>
        <v>1.9344504830917875</v>
      </c>
      <c r="M16" s="1">
        <f>[1]WAUTHELET!$K$32</f>
        <v>1.6566727053140098</v>
      </c>
      <c r="N16" s="1">
        <f>[1]WAUTHELET!$K$33</f>
        <v>1.403894927536232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="150" zoomScaleNormal="150" workbookViewId="0">
      <selection activeCell="K2" sqref="K2"/>
    </sheetView>
  </sheetViews>
  <sheetFormatPr baseColWidth="10" defaultColWidth="9.140625" defaultRowHeight="15" x14ac:dyDescent="0.25"/>
  <cols>
    <col min="1" max="1" width="23.140625" bestFit="1" customWidth="1"/>
    <col min="2" max="2" width="13.5703125" bestFit="1" customWidth="1"/>
    <col min="3" max="4" width="9.5703125" bestFit="1" customWidth="1"/>
    <col min="5" max="5" width="7.7109375" bestFit="1" customWidth="1"/>
    <col min="6" max="6" width="7.42578125" bestFit="1" customWidth="1"/>
    <col min="7" max="7" width="6.7109375" bestFit="1" customWidth="1"/>
    <col min="8" max="8" width="6.85546875" bestFit="1" customWidth="1"/>
    <col min="9" max="9" width="8.7109375" bestFit="1" customWidth="1"/>
    <col min="10" max="10" width="7.5703125" bestFit="1" customWidth="1"/>
    <col min="11" max="11" width="13.140625" bestFit="1" customWidth="1"/>
    <col min="12" max="12" width="10.42578125" bestFit="1" customWidth="1"/>
    <col min="13" max="13" width="12.7109375" bestFit="1" customWidth="1"/>
    <col min="14" max="14" width="12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 t="str">
        <f>[1]CARPENTIER!$F$2</f>
        <v xml:space="preserve"> </v>
      </c>
      <c r="C2" s="1">
        <f>[1]CARPENTIER!$K$5</f>
        <v>0.21603535353535347</v>
      </c>
      <c r="D2" s="1">
        <f>[1]CARPENTIER!$K$6</f>
        <v>0.2132575757575757</v>
      </c>
      <c r="E2" s="1">
        <f>[1]CARPENTIER!$K$7</f>
        <v>0.20101010101010094</v>
      </c>
      <c r="F2" s="1">
        <f>[1]CARPENTIER!$K$8</f>
        <v>0.27462121212121204</v>
      </c>
      <c r="G2" s="1">
        <f>[1]CARPENTIER!$K$9</f>
        <v>0.38871434937611399</v>
      </c>
      <c r="H2" s="1">
        <f>[1]CARPENTIER!$K$10</f>
        <v>0.33940879382055844</v>
      </c>
      <c r="I2" s="1">
        <f>[1]CARPENTIER!$K$11</f>
        <v>0.43603577794754256</v>
      </c>
      <c r="J2" s="1">
        <f>[1]CARPENTIER!$K$12</f>
        <v>0.34714688905865365</v>
      </c>
      <c r="K2" s="1"/>
      <c r="L2" s="1"/>
      <c r="M2" s="1"/>
      <c r="N2" s="1"/>
    </row>
    <row r="3" spans="1:14" x14ac:dyDescent="0.25">
      <c r="A3" t="s">
        <v>15</v>
      </c>
      <c r="B3" s="1" t="str">
        <f>[1]DAIX!$F$2</f>
        <v xml:space="preserve"> </v>
      </c>
      <c r="C3" s="1">
        <f>[1]DAIX!$K$5</f>
        <v>-0.55346398770311822</v>
      </c>
      <c r="D3" s="1">
        <f>[1]DAIX!$K$6</f>
        <v>-0.42151954325867375</v>
      </c>
      <c r="E3" s="1">
        <f>[1]DAIX!$K$7</f>
        <v>-2.7390755379885834E-2</v>
      </c>
      <c r="F3" s="1">
        <f>[1]DAIX!$K$8</f>
        <v>-0.10625980299893345</v>
      </c>
      <c r="G3" s="1">
        <f>[1]DAIX!$K$9</f>
        <v>3.8184641445510981E-2</v>
      </c>
      <c r="H3" s="1">
        <f>[1]DAIX!$K$10</f>
        <v>0.17985130811217764</v>
      </c>
      <c r="I3" s="1">
        <f>[1]DAIX!$K$11</f>
        <v>0.24512908588995541</v>
      </c>
      <c r="J3" s="1">
        <f>[1]DAIX!$K$12</f>
        <v>0.48749019700106655</v>
      </c>
      <c r="K3" s="1"/>
      <c r="L3" s="1"/>
      <c r="M3" s="1"/>
      <c r="N3" s="1"/>
    </row>
    <row r="4" spans="1:14" x14ac:dyDescent="0.25">
      <c r="A4" t="s">
        <v>16</v>
      </c>
      <c r="B4" s="1" t="str">
        <f>'[1]DE LUCIA'!$F$2</f>
        <v xml:space="preserve"> </v>
      </c>
      <c r="C4" s="1">
        <f>'[1]DE LUCIA'!$K$5</f>
        <v>1.0535833333333335</v>
      </c>
      <c r="D4" s="1">
        <f>'[1]DE LUCIA'!$K$6</f>
        <v>1.1480277777777781</v>
      </c>
      <c r="E4" s="1">
        <f>'[1]DE LUCIA'!$K$7</f>
        <v>1.4640000000000004</v>
      </c>
      <c r="F4" s="1">
        <f>'[1]DE LUCIA'!$K$8</f>
        <v>1.1716388888888893</v>
      </c>
      <c r="G4" s="1">
        <f>'[1]DE LUCIA'!$K$9</f>
        <v>0.90627777777777818</v>
      </c>
      <c r="H4" s="1">
        <f>'[1]DE LUCIA'!$K$10</f>
        <v>0.78694444444444478</v>
      </c>
      <c r="I4" s="1">
        <f>'[1]DE LUCIA'!$K$11</f>
        <v>0.88000000000000034</v>
      </c>
      <c r="J4" s="1">
        <f>'[1]DE LUCIA'!$K$12</f>
        <v>0.85916666666666708</v>
      </c>
      <c r="K4" s="1"/>
      <c r="L4" s="1"/>
      <c r="M4" s="1"/>
      <c r="N4" s="1"/>
    </row>
    <row r="5" spans="1:14" x14ac:dyDescent="0.25">
      <c r="A5" t="s">
        <v>17</v>
      </c>
      <c r="B5" s="1" t="str">
        <f>[1]DENIS!$F$2</f>
        <v xml:space="preserve"> </v>
      </c>
      <c r="C5" s="1">
        <f>[1]DENIS!$K$5</f>
        <v>0.81328282828282827</v>
      </c>
      <c r="D5" s="1">
        <f>[1]DENIS!$K$6</f>
        <v>0.78133838383838383</v>
      </c>
      <c r="E5" s="1">
        <f>[1]DENIS!$K$7</f>
        <v>0.68064393939393941</v>
      </c>
      <c r="F5" s="1">
        <f>[1]DENIS!$K$8</f>
        <v>0.57231060606060602</v>
      </c>
      <c r="G5" s="1">
        <f>[1]DENIS!$K$9</f>
        <v>0.58550505050505053</v>
      </c>
      <c r="H5" s="1">
        <f>[1]DENIS!$K$10</f>
        <v>0.66467171717171714</v>
      </c>
      <c r="I5" s="1">
        <f>[1]DENIS!$K$11</f>
        <v>0.52092171717171709</v>
      </c>
      <c r="J5" s="1">
        <f>[1]DENIS!$K$12</f>
        <v>0.55286616161616153</v>
      </c>
      <c r="K5" s="1"/>
      <c r="L5" s="1"/>
      <c r="M5" s="1"/>
      <c r="N5" s="1"/>
    </row>
    <row r="6" spans="1:14" x14ac:dyDescent="0.25">
      <c r="A6" t="s">
        <v>18</v>
      </c>
      <c r="B6" s="1" t="str">
        <f>[1]DEROY!$F$2</f>
        <v xml:space="preserve"> </v>
      </c>
      <c r="C6" s="1">
        <f>[1]DEROY!$K$5</f>
        <v>1.5696859903381644</v>
      </c>
      <c r="D6" s="1">
        <f>[1]DEROY!$K$6</f>
        <v>1.4051026570048311</v>
      </c>
      <c r="E6" s="1">
        <f>[1]DEROY!$K$7</f>
        <v>1.7599637681159421</v>
      </c>
      <c r="F6" s="1">
        <f>[1]DEROY!$K$8</f>
        <v>1.8748447204968945</v>
      </c>
      <c r="G6" s="1">
        <f>[1]DEROY!$K$9</f>
        <v>1.7074019100393782</v>
      </c>
      <c r="H6" s="1">
        <f>[1]DEROY!$K$10</f>
        <v>1.4532352433727116</v>
      </c>
      <c r="I6" s="1">
        <f>[1]DEROY!$K$11</f>
        <v>0.48379079892826704</v>
      </c>
      <c r="J6" s="1">
        <f>[1]DEROY!$K$12</f>
        <v>0.58517968781715601</v>
      </c>
      <c r="K6" s="1"/>
      <c r="L6" s="1"/>
      <c r="M6" s="1"/>
      <c r="N6" s="1"/>
    </row>
    <row r="7" spans="1:14" x14ac:dyDescent="0.25">
      <c r="A7" t="s">
        <v>19</v>
      </c>
      <c r="B7" s="1" t="str">
        <f>[1]DJEUKOUA!$F$2</f>
        <v xml:space="preserve"> </v>
      </c>
      <c r="C7" s="1">
        <f>[1]DJEUKOUA!$K$5</f>
        <v>0.6487725943646997</v>
      </c>
      <c r="D7" s="1">
        <f>[1]DJEUKOUA!$K$6</f>
        <v>0.42793926103136637</v>
      </c>
      <c r="E7" s="1">
        <f>[1]DJEUKOUA!$K$7</f>
        <v>0.51992158426368951</v>
      </c>
      <c r="F7" s="1">
        <f>[1]DJEUKOUA!$K$8</f>
        <v>0.48103269537480065</v>
      </c>
      <c r="G7" s="1">
        <f>[1]DJEUKOUA!$K$9</f>
        <v>0.45464380648591174</v>
      </c>
      <c r="H7" s="1">
        <f>[1]DJEUKOUA!$K$10</f>
        <v>0.31468168527379053</v>
      </c>
      <c r="I7" s="1">
        <f>[1]DJEUKOUA!$K$11</f>
        <v>0.24315390749601273</v>
      </c>
      <c r="J7" s="1">
        <f>[1]DJEUKOUA!$K$12</f>
        <v>0.28809438368648893</v>
      </c>
      <c r="K7" s="1"/>
      <c r="L7" s="1"/>
      <c r="M7" s="1"/>
      <c r="N7" s="1"/>
    </row>
    <row r="8" spans="1:14" x14ac:dyDescent="0.25">
      <c r="A8" t="s">
        <v>20</v>
      </c>
      <c r="B8" s="1" t="str">
        <f>[1]HIDALGO!$F$2</f>
        <v xml:space="preserve"> </v>
      </c>
      <c r="C8" s="1">
        <f>[1]HIDALGO!$K$5</f>
        <v>1.4604166666666676</v>
      </c>
      <c r="D8" s="1">
        <f>[1]HIDALGO!$K$6</f>
        <v>1.5104166666666676</v>
      </c>
      <c r="E8" s="1">
        <f>[1]HIDALGO!$K$7</f>
        <v>1.31388888888889</v>
      </c>
      <c r="F8" s="1">
        <f>[1]HIDALGO!$K$8</f>
        <v>1.3388888888888901</v>
      </c>
      <c r="G8" s="1">
        <f>[1]HIDALGO!$K$9</f>
        <v>1.4368055555555568</v>
      </c>
      <c r="H8" s="1">
        <f>[1]HIDALGO!$K$10</f>
        <v>1.2569444444444458</v>
      </c>
      <c r="I8" s="1">
        <f>[1]HIDALGO!$K$11</f>
        <v>1.3256944444444458</v>
      </c>
      <c r="J8" s="1">
        <f>[1]HIDALGO!$K$12</f>
        <v>1.4798611111111126</v>
      </c>
      <c r="K8" s="1"/>
      <c r="L8" s="1"/>
      <c r="M8" s="1"/>
      <c r="N8" s="1"/>
    </row>
    <row r="9" spans="1:14" x14ac:dyDescent="0.25">
      <c r="A9" t="s">
        <v>21</v>
      </c>
      <c r="B9" s="1" t="str">
        <f>[1]LOGIST!$F$2</f>
        <v xml:space="preserve"> </v>
      </c>
      <c r="C9" s="1">
        <f>[1]LOGIST!$K$5</f>
        <v>0.68837865497076023</v>
      </c>
      <c r="D9" s="1">
        <f>[1]LOGIST!$K$6</f>
        <v>0.7717119883040936</v>
      </c>
      <c r="E9" s="1">
        <f>[1]LOGIST!$K$7</f>
        <v>0.7717119883040936</v>
      </c>
      <c r="F9" s="1">
        <f>[1]LOGIST!$K$8</f>
        <v>0.885045321637427</v>
      </c>
      <c r="G9" s="1">
        <f>[1]LOGIST!$K$9</f>
        <v>1.0294897660818716</v>
      </c>
      <c r="H9" s="1">
        <f>[1]LOGIST!$K$10</f>
        <v>1.0294897660818716</v>
      </c>
      <c r="I9" s="1">
        <f>[1]LOGIST!$K$11</f>
        <v>0.90448976608187159</v>
      </c>
      <c r="J9" s="1">
        <f>[1]LOGIST!$K$12</f>
        <v>1.0301842105263161</v>
      </c>
      <c r="K9" s="1"/>
      <c r="L9" s="1"/>
      <c r="M9" s="1"/>
      <c r="N9" s="1"/>
    </row>
    <row r="10" spans="1:14" x14ac:dyDescent="0.25">
      <c r="A10" t="s">
        <v>22</v>
      </c>
      <c r="B10" s="1" t="str">
        <f>[1]MARTINOT!$F$2</f>
        <v xml:space="preserve"> </v>
      </c>
      <c r="C10" s="1">
        <f>[1]MARTINOT!$K$5</f>
        <v>1.8701388888888888</v>
      </c>
      <c r="D10" s="1">
        <f>[1]MARTINOT!$K$6</f>
        <v>1.8701388888888888</v>
      </c>
      <c r="E10" s="1">
        <f>[1]MARTINOT!$K$7</f>
        <v>1.8701388888888888</v>
      </c>
      <c r="F10" s="1">
        <f>[1]MARTINOT!$K$8</f>
        <v>1.8701388888888888</v>
      </c>
      <c r="G10" s="1">
        <f>[1]MARTINOT!$K$9</f>
        <v>1.3693055555555556</v>
      </c>
      <c r="H10" s="1">
        <f>[1]MARTINOT!$K$10</f>
        <v>0.5443055555555556</v>
      </c>
      <c r="I10" s="1">
        <f>[1]MARTINOT!$K$11</f>
        <v>0.35263888888888895</v>
      </c>
      <c r="J10" s="1">
        <f>[1]MARTINOT!$K$12</f>
        <v>0.12000000000000005</v>
      </c>
      <c r="K10" s="1"/>
      <c r="L10" s="1"/>
      <c r="M10" s="1"/>
      <c r="N10" s="1"/>
    </row>
    <row r="11" spans="1:14" x14ac:dyDescent="0.25">
      <c r="A11" t="s">
        <v>23</v>
      </c>
      <c r="B11" s="1" t="str">
        <f>[1]POURLIER!$F$2</f>
        <v xml:space="preserve"> </v>
      </c>
      <c r="C11" s="1">
        <f>[1]POURLIER!$K$5</f>
        <v>0.3609738691260429</v>
      </c>
      <c r="D11" s="1">
        <f>[1]POURLIER!$K$6</f>
        <v>0.3609738691260429</v>
      </c>
      <c r="E11" s="1">
        <f>[1]POURLIER!$K$7</f>
        <v>0.33944609134826514</v>
      </c>
      <c r="F11" s="1">
        <f>[1]POURLIER!$K$8</f>
        <v>0.36920799611016991</v>
      </c>
      <c r="G11" s="1">
        <f>[1]POURLIER!$K$9</f>
        <v>0.27823577388794768</v>
      </c>
      <c r="H11" s="1">
        <f>[1]POURLIER!$K$10</f>
        <v>0.21106405671623049</v>
      </c>
      <c r="I11" s="1">
        <f>[1]POURLIER!$K$11</f>
        <v>0.27733389798607178</v>
      </c>
      <c r="J11" s="1">
        <f>[1]POURLIER!$K$12</f>
        <v>0.26969500909718291</v>
      </c>
      <c r="K11" s="1"/>
      <c r="L11" s="1"/>
      <c r="M11" s="1"/>
      <c r="N11" s="1"/>
    </row>
    <row r="12" spans="1:14" x14ac:dyDescent="0.25">
      <c r="A12" t="s">
        <v>24</v>
      </c>
      <c r="B12" s="1" t="str">
        <f>[1]SEVRIN!$F$2</f>
        <v xml:space="preserve"> </v>
      </c>
      <c r="C12" s="1">
        <f>[1]SEVRIN!$K$5</f>
        <v>1.3208985507246376</v>
      </c>
      <c r="D12" s="1">
        <f>[1]SEVRIN!$K$6</f>
        <v>1.484092995169082</v>
      </c>
      <c r="E12" s="1">
        <f>[1]SEVRIN!$K$7</f>
        <v>0.96673188405797084</v>
      </c>
      <c r="F12" s="1">
        <f>[1]SEVRIN!$K$8</f>
        <v>1.0035374396135264</v>
      </c>
      <c r="G12" s="1">
        <f>[1]SEVRIN!$K$9</f>
        <v>0.88062077294685959</v>
      </c>
      <c r="H12" s="1">
        <f>[1]SEVRIN!$K$10</f>
        <v>0.95700966183574843</v>
      </c>
      <c r="I12" s="1">
        <f>[1]SEVRIN!$K$11</f>
        <v>1.1570096618357484</v>
      </c>
      <c r="J12" s="1">
        <f>[1]SEVRIN!$K$12</f>
        <v>1.0590929951690817</v>
      </c>
      <c r="K12" s="1"/>
      <c r="L12" s="1"/>
      <c r="M12" s="1"/>
      <c r="N12" s="1"/>
    </row>
    <row r="13" spans="1:14" x14ac:dyDescent="0.25">
      <c r="A13" t="s">
        <v>25</v>
      </c>
      <c r="B13" s="1" t="str">
        <f>[1]VANDENBOSCH!$F$2</f>
        <v xml:space="preserve"> </v>
      </c>
      <c r="C13" s="1">
        <f>[1]VANDENBOSCH!$K$5</f>
        <v>0.42947957839262196</v>
      </c>
      <c r="D13" s="1">
        <f>[1]VANDENBOSCH!$K$6</f>
        <v>0.39128513394817754</v>
      </c>
      <c r="E13" s="1">
        <f>[1]VANDENBOSCH!$K$7</f>
        <v>0.48932806324110684</v>
      </c>
      <c r="F13" s="1">
        <f>[1]VANDENBOSCH!$K$8</f>
        <v>0.61432806324110678</v>
      </c>
      <c r="G13" s="1">
        <f>[1]VANDENBOSCH!$K$9</f>
        <v>0.71519407631300225</v>
      </c>
      <c r="H13" s="1">
        <f>[1]VANDENBOSCH!$K$10</f>
        <v>0.61241629853522439</v>
      </c>
      <c r="I13" s="1">
        <f>[1]VANDENBOSCH!$K$11</f>
        <v>0.63463852075744664</v>
      </c>
      <c r="J13" s="1">
        <f>[1]VANDENBOSCH!$K$12</f>
        <v>0.44158296520189111</v>
      </c>
      <c r="K13" s="1"/>
      <c r="L13" s="1"/>
      <c r="M13" s="1"/>
      <c r="N13" s="1"/>
    </row>
    <row r="14" spans="1:14" x14ac:dyDescent="0.25">
      <c r="A14" t="s">
        <v>26</v>
      </c>
      <c r="B14" s="1" t="str">
        <f>[1]VILCHES!$F$2</f>
        <v xml:space="preserve"> </v>
      </c>
      <c r="C14" s="1">
        <f>[1]VILCHES!$K$5</f>
        <v>1.765366161616162</v>
      </c>
      <c r="D14" s="1">
        <f>[1]VILCHES!$K$6</f>
        <v>1.8584217171717174</v>
      </c>
      <c r="E14" s="1">
        <f>[1]VILCHES!$K$7</f>
        <v>2.2705429292929296</v>
      </c>
      <c r="F14" s="1">
        <f>[1]VILCHES!$K$8</f>
        <v>2.2406818181818187</v>
      </c>
      <c r="G14" s="1">
        <f>[1]VILCHES!$K$9</f>
        <v>2.092765151515152</v>
      </c>
      <c r="H14" s="1">
        <f>[1]VILCHES!$K$10</f>
        <v>1.9980681818181822</v>
      </c>
      <c r="I14" s="1">
        <f>[1]VILCHES!$K$11</f>
        <v>1.7883459595959601</v>
      </c>
      <c r="J14" s="1">
        <f>[1]VILCHES!$K$12</f>
        <v>1.8008459595959601</v>
      </c>
      <c r="K14" s="1"/>
      <c r="L14" s="1"/>
      <c r="M14" s="1"/>
      <c r="N14" s="1"/>
    </row>
    <row r="15" spans="1:14" x14ac:dyDescent="0.25">
      <c r="A15" t="s">
        <v>27</v>
      </c>
      <c r="B15" s="1"/>
      <c r="C15" s="1">
        <f>[1]VITARELLA!$K$5</f>
        <v>0</v>
      </c>
      <c r="D15" s="1">
        <f>[1]VITARELLA!$K$6</f>
        <v>0.25</v>
      </c>
      <c r="E15" s="1">
        <f>[1]VITARELLA!$K$7</f>
        <v>0.5</v>
      </c>
      <c r="F15" s="1">
        <f>[1]VITARELLA!$K$8</f>
        <v>0.70833333333333326</v>
      </c>
      <c r="G15" s="1">
        <f>[1]VITARELLA!$K$9</f>
        <v>0.73888888888888871</v>
      </c>
      <c r="H15" s="1">
        <f>[1]VITARELLA!$K$10</f>
        <v>0.93611111111111089</v>
      </c>
      <c r="I15" s="1">
        <f>[1]VITARELLA!$K$11</f>
        <v>0.97847222222222197</v>
      </c>
      <c r="J15" s="1">
        <f>[1]VITARELLA!$K$12</f>
        <v>0.98819444444444415</v>
      </c>
      <c r="K15" s="1"/>
      <c r="L15" s="1"/>
      <c r="M15" s="1"/>
      <c r="N15" s="1"/>
    </row>
    <row r="16" spans="1:14" x14ac:dyDescent="0.25">
      <c r="A16" t="s">
        <v>28</v>
      </c>
      <c r="B16" s="1" t="str">
        <f>[1]WAUTHELET!$F$2</f>
        <v xml:space="preserve"> </v>
      </c>
      <c r="C16" s="1">
        <f>[1]WAUTHELET!$K$5</f>
        <v>1.221256038647343</v>
      </c>
      <c r="D16" s="1">
        <f>[1]WAUTHELET!$K$6</f>
        <v>0.94625603864734298</v>
      </c>
      <c r="E16" s="1">
        <f>[1]WAUTHELET!$K$7</f>
        <v>0.8726449275362318</v>
      </c>
      <c r="F16" s="1">
        <f>[1]WAUTHELET!$K$8</f>
        <v>1.0393115942028985</v>
      </c>
      <c r="G16" s="1">
        <f>[1]WAUTHELET!$K$9</f>
        <v>0.9422936203466894</v>
      </c>
      <c r="H16" s="1">
        <f>[1]WAUTHELET!$K$10</f>
        <v>0.92379614559921464</v>
      </c>
      <c r="I16" s="1">
        <f>[1]WAUTHELET!$K$11</f>
        <v>1.1737961455992147</v>
      </c>
      <c r="J16" s="1">
        <f>[1]WAUTHELET!$K$12</f>
        <v>1.1529628122658815</v>
      </c>
      <c r="K16" s="1"/>
      <c r="L16" s="1"/>
      <c r="M16" s="1"/>
      <c r="N16" s="1"/>
    </row>
  </sheetData>
  <phoneticPr fontId="1" type="noConversion"/>
  <pageMargins left="0.7" right="0.7" top="0.75" bottom="0.75" header="0.3" footer="0.3"/>
  <ignoredErrors>
    <ignoredError sqref="C3 C4 C5 C6 C7 C8 C9 C10 C11 C12 C13 C14:C16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3876D2EFA434439C094FF2251913B9" ma:contentTypeVersion="3" ma:contentTypeDescription="Create a new document." ma:contentTypeScope="" ma:versionID="8d38a96a4d79b2def39fba2b13310c82">
  <xsd:schema xmlns:xsd="http://www.w3.org/2001/XMLSchema" xmlns:xs="http://www.w3.org/2001/XMLSchema" xmlns:p="http://schemas.microsoft.com/office/2006/metadata/properties" xmlns:ns2="d07ca0ec-5157-41b5-8d0f-93bd9610df36" targetNamespace="http://schemas.microsoft.com/office/2006/metadata/properties" ma:root="true" ma:fieldsID="650d5ff0aa0ee8df015896b7da2573e9" ns2:_="">
    <xsd:import namespace="d07ca0ec-5157-41b5-8d0f-93bd9610d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ca0ec-5157-41b5-8d0f-93bd9610d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78B70F-238A-40F4-84C7-B703B6DF75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7ca0ec-5157-41b5-8d0f-93bd9610df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162B4C-8036-4FD3-B02E-9FAB6E06A7E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F5359EC-D85E-4EE8-994B-A84A386438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DEWEZ Bastien</dc:creator>
  <cp:keywords/>
  <dc:description/>
  <cp:lastModifiedBy>DEWEZ Bastien</cp:lastModifiedBy>
  <cp:revision/>
  <dcterms:created xsi:type="dcterms:W3CDTF">2015-06-05T18:19:34Z</dcterms:created>
  <dcterms:modified xsi:type="dcterms:W3CDTF">2026-09-02T10:33:55Z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0x0101003D3876D2EFA434439C094FF2251913B9</vt:lpwstr>
  </property>
</Properties>
</file>