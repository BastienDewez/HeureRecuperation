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audio/Shared Documents/Prestations Audio/"/>
    </mc:Choice>
  </mc:AlternateContent>
  <xr:revisionPtr revIDLastSave="348" documentId="11_8BA3C09E2DF16CD648EA96253F05920B2FF8C28C" xr6:coauthVersionLast="47" xr6:coauthVersionMax="47" xr10:uidLastSave="{CA8B5A94-392F-4B81-98CE-71F2CEA09449}"/>
  <bookViews>
    <workbookView xWindow="-120" yWindow="-120" windowWidth="29040" windowHeight="15720" xr2:uid="{00000000-000D-0000-FFFF-FFFF00000000}"/>
  </bookViews>
  <sheets>
    <sheet name="2026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15" i="1"/>
  <c r="G14" i="1"/>
  <c r="G13" i="1"/>
  <c r="G12" i="1"/>
  <c r="G9" i="1"/>
  <c r="G8" i="1"/>
  <c r="G7" i="1"/>
  <c r="G6" i="1"/>
  <c r="G5" i="1"/>
  <c r="G4" i="1"/>
  <c r="G3" i="1"/>
  <c r="F4" i="1"/>
  <c r="F2" i="1"/>
  <c r="E15" i="1"/>
  <c r="E16" i="1" l="1"/>
  <c r="E13" i="1"/>
  <c r="E10" i="1"/>
  <c r="E9" i="1"/>
  <c r="E5" i="1"/>
  <c r="E4" i="1"/>
  <c r="E14" i="1" l="1"/>
  <c r="E12" i="1"/>
  <c r="E6" i="1"/>
  <c r="E2" i="1" l="1"/>
  <c r="E7" i="1" l="1"/>
  <c r="D15" i="1" l="1"/>
  <c r="C15" i="1"/>
  <c r="E3" i="1" l="1"/>
  <c r="C9" i="1"/>
  <c r="C10" i="1"/>
  <c r="C11" i="1"/>
  <c r="C13" i="1"/>
  <c r="C4" i="1"/>
  <c r="C8" i="1"/>
  <c r="C5" i="1"/>
  <c r="C16" i="1"/>
  <c r="C12" i="1" l="1"/>
  <c r="C14" i="1"/>
  <c r="C6" i="1"/>
  <c r="C2" i="1" l="1"/>
  <c r="C7" i="1" l="1"/>
  <c r="D16" i="1" l="1"/>
  <c r="D13" i="1"/>
  <c r="D11" i="1"/>
  <c r="D10" i="1"/>
  <c r="D9" i="1"/>
  <c r="D8" i="1"/>
  <c r="D5" i="1"/>
  <c r="D4" i="1"/>
  <c r="D14" i="1" l="1"/>
  <c r="D12" i="1"/>
  <c r="D6" i="1"/>
  <c r="D2" i="1" l="1"/>
  <c r="D7" i="1" l="1"/>
  <c r="C3" i="1" l="1"/>
  <c r="D3" i="1" l="1"/>
  <c r="F15" i="1" l="1"/>
  <c r="E11" i="1" l="1"/>
  <c r="E8" i="1"/>
  <c r="F16" i="1" l="1"/>
  <c r="F13" i="1"/>
  <c r="F11" i="1"/>
  <c r="F10" i="1"/>
  <c r="F9" i="1"/>
  <c r="F8" i="1"/>
  <c r="F5" i="1"/>
  <c r="F14" i="1" l="1"/>
  <c r="F12" i="1"/>
  <c r="F6" i="1"/>
  <c r="F7" i="1" l="1"/>
  <c r="B3" i="1" l="1"/>
  <c r="F3" i="1" l="1"/>
  <c r="B4" i="1" l="1"/>
  <c r="B12" i="1" l="1"/>
  <c r="B9" i="1"/>
  <c r="B7" i="1"/>
  <c r="B6" i="1"/>
  <c r="H15" i="1" l="1"/>
  <c r="B16" i="1" l="1"/>
  <c r="B14" i="1"/>
  <c r="B13" i="1"/>
  <c r="B11" i="1"/>
  <c r="B10" i="1"/>
  <c r="B8" i="1"/>
  <c r="B5" i="1"/>
  <c r="B2" i="1"/>
  <c r="H4" i="1" l="1"/>
  <c r="G16" i="1" l="1"/>
  <c r="H13" i="1"/>
  <c r="H11" i="1"/>
  <c r="G11" i="1"/>
  <c r="G10" i="1"/>
  <c r="H9" i="1"/>
  <c r="H8" i="1"/>
  <c r="H5" i="1"/>
  <c r="H16" i="1" l="1"/>
  <c r="H14" i="1"/>
  <c r="H12" i="1"/>
  <c r="H10" i="1"/>
  <c r="H6" i="1"/>
  <c r="G2" i="1"/>
  <c r="H2" i="1" l="1"/>
  <c r="H7" i="1" l="1"/>
</calcChain>
</file>

<file path=xl/sharedStrings.xml><?xml version="1.0" encoding="utf-8"?>
<sst xmlns="http://schemas.openxmlformats.org/spreadsheetml/2006/main" count="29" uniqueCount="29">
  <si>
    <t>Agent</t>
  </si>
  <si>
    <t>Solde 31/08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</si>
  <si>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</si>
  <si>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</si>
  <si>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</si>
  <si>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</si>
  <si>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</si>
  <si>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</si>
  <si>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</si>
  <si>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</si>
  <si>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</si>
  <si>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</si>
  <si>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</si>
  <si>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</si>
  <si>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Carpentier Daniel</t>
  </si>
  <si>
    <t>Daix Martin</t>
  </si>
  <si>
    <t>De Lucia Riccardo</t>
  </si>
  <si>
    <t>Denis Gilles</t>
  </si>
  <si>
    <t>Deroy Vincent</t>
  </si>
  <si>
    <t>Djeukoua Paul-Alain</t>
  </si>
  <si>
    <t>Hidalgo Jéronimo</t>
  </si>
  <si>
    <t>Logist Gilles</t>
  </si>
  <si>
    <t>Martinot Alain</t>
  </si>
  <si>
    <t>Pourlier Florent</t>
  </si>
  <si>
    <t>Sevrin Jérôme</t>
  </si>
  <si>
    <t>Vandenbosch Emmanuel</t>
  </si>
  <si>
    <t>Vilches Jonathan</t>
  </si>
  <si>
    <t>Vitarella Anthony</t>
  </si>
  <si>
    <t>Wauthelet Jimmy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</si>
</sst>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3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Audio.xlsx" TargetMode="External"/><Relationship Id="rId1" Type="http://schemas.openxmlformats.org/officeDocument/2006/relationships/externalLinkPath" Target="/sites/CPM-PrestationsAgentsCPM/Shared%20Documents/Prestations%20Agents%20CPM/CalculHeureAud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PENTIER"/>
      <sheetName val="DAIX"/>
      <sheetName val="DE LUCIA"/>
      <sheetName val="DENIS"/>
      <sheetName val="DEROY"/>
      <sheetName val="DJEUKOUA"/>
      <sheetName val="HIDALGO"/>
      <sheetName val="LOGIST"/>
      <sheetName val="MARTINOT"/>
      <sheetName val="POURLIER"/>
      <sheetName val="SEVRIN"/>
      <sheetName val="VANDENBOSCH"/>
      <sheetName val="VILCHES"/>
      <sheetName val="VITARELLA"/>
      <sheetName val="WAUTHELET"/>
    </sheetNames>
    <sheetDataSet>
      <sheetData sheetId="0">
        <row r="2">
          <cell r="F2" t="str">
            <v xml:space="preserve"> </v>
          </cell>
        </row>
        <row r="5">
          <cell r="K5">
            <v>0.21603535353535347</v>
          </cell>
        </row>
        <row r="6">
          <cell r="K6">
            <v>0.2132575757575757</v>
          </cell>
        </row>
        <row r="7">
          <cell r="K7">
            <v>0.20101010101010094</v>
          </cell>
        </row>
        <row r="8">
          <cell r="K8">
            <v>0.27462121212121204</v>
          </cell>
        </row>
        <row r="9">
          <cell r="K9">
            <v>0.38871434937611399</v>
          </cell>
        </row>
        <row r="10">
          <cell r="K10">
            <v>0.38107546048722513</v>
          </cell>
        </row>
      </sheetData>
      <sheetData sheetId="1">
        <row r="2">
          <cell r="F2" t="str">
            <v xml:space="preserve"> </v>
          </cell>
        </row>
        <row r="5">
          <cell r="K5">
            <v>-0.55346398770311822</v>
          </cell>
        </row>
        <row r="6">
          <cell r="K6">
            <v>-0.42151954325867375</v>
          </cell>
        </row>
        <row r="7">
          <cell r="K7">
            <v>-2.7390755379885834E-2</v>
          </cell>
        </row>
        <row r="8">
          <cell r="K8">
            <v>-0.10625980299893345</v>
          </cell>
        </row>
        <row r="9">
          <cell r="K9">
            <v>3.8184641445510981E-2</v>
          </cell>
        </row>
        <row r="10">
          <cell r="K10">
            <v>0.17985130811217764</v>
          </cell>
        </row>
      </sheetData>
      <sheetData sheetId="2">
        <row r="2">
          <cell r="F2" t="str">
            <v xml:space="preserve"> </v>
          </cell>
        </row>
        <row r="5">
          <cell r="K5">
            <v>1.0535833333333335</v>
          </cell>
        </row>
        <row r="6">
          <cell r="K6">
            <v>1.1480277777777781</v>
          </cell>
        </row>
        <row r="7">
          <cell r="K7">
            <v>1.4640000000000004</v>
          </cell>
        </row>
        <row r="8">
          <cell r="K8">
            <v>1.1716388888888893</v>
          </cell>
        </row>
        <row r="9">
          <cell r="K9">
            <v>0.90627777777777818</v>
          </cell>
        </row>
        <row r="10">
          <cell r="K10">
            <v>0.78694444444444478</v>
          </cell>
        </row>
      </sheetData>
      <sheetData sheetId="3">
        <row r="2">
          <cell r="F2" t="str">
            <v xml:space="preserve"> </v>
          </cell>
        </row>
        <row r="5">
          <cell r="K5">
            <v>0.81328282828282827</v>
          </cell>
        </row>
        <row r="6">
          <cell r="K6">
            <v>0.78133838383838383</v>
          </cell>
        </row>
        <row r="7">
          <cell r="K7">
            <v>0.68064393939393941</v>
          </cell>
        </row>
        <row r="8">
          <cell r="K8">
            <v>0.57231060606060602</v>
          </cell>
        </row>
        <row r="9">
          <cell r="K9">
            <v>0.58550505050505053</v>
          </cell>
        </row>
        <row r="10">
          <cell r="K10">
            <v>0.59522727272727272</v>
          </cell>
        </row>
      </sheetData>
      <sheetData sheetId="4">
        <row r="2">
          <cell r="F2" t="str">
            <v xml:space="preserve"> </v>
          </cell>
        </row>
        <row r="5">
          <cell r="K5">
            <v>1.5696859903381644</v>
          </cell>
        </row>
        <row r="6">
          <cell r="K6">
            <v>1.4051026570048311</v>
          </cell>
        </row>
        <row r="7">
          <cell r="K7">
            <v>1.7599637681159421</v>
          </cell>
        </row>
        <row r="8">
          <cell r="K8">
            <v>1.8748447204968945</v>
          </cell>
        </row>
        <row r="9">
          <cell r="K9">
            <v>1.6907352433727116</v>
          </cell>
        </row>
        <row r="10">
          <cell r="K10">
            <v>1.436568576706045</v>
          </cell>
        </row>
      </sheetData>
      <sheetData sheetId="5">
        <row r="2">
          <cell r="F2" t="str">
            <v xml:space="preserve"> </v>
          </cell>
        </row>
        <row r="5">
          <cell r="K5">
            <v>0.6487725943646997</v>
          </cell>
        </row>
        <row r="6">
          <cell r="K6">
            <v>0.42793926103136637</v>
          </cell>
        </row>
        <row r="7">
          <cell r="K7">
            <v>0.51992158426368951</v>
          </cell>
        </row>
        <row r="8">
          <cell r="K8">
            <v>0.48103269537480065</v>
          </cell>
        </row>
        <row r="9">
          <cell r="K9">
            <v>0.45464380648591174</v>
          </cell>
        </row>
        <row r="10">
          <cell r="K10">
            <v>0.14649986709197235</v>
          </cell>
        </row>
      </sheetData>
      <sheetData sheetId="6">
        <row r="2">
          <cell r="F2" t="str">
            <v xml:space="preserve"> </v>
          </cell>
        </row>
        <row r="5">
          <cell r="K5">
            <v>1.4604166666666676</v>
          </cell>
        </row>
        <row r="6">
          <cell r="K6">
            <v>1.5104166666666676</v>
          </cell>
        </row>
        <row r="7">
          <cell r="K7">
            <v>1.31388888888889</v>
          </cell>
        </row>
        <row r="8">
          <cell r="K8">
            <v>1.3388888888888901</v>
          </cell>
        </row>
        <row r="9">
          <cell r="K9">
            <v>1.4368055555555568</v>
          </cell>
        </row>
        <row r="10">
          <cell r="K10">
            <v>1.2569444444444458</v>
          </cell>
        </row>
      </sheetData>
      <sheetData sheetId="7">
        <row r="2">
          <cell r="F2" t="str">
            <v xml:space="preserve"> </v>
          </cell>
        </row>
        <row r="5">
          <cell r="K5">
            <v>0.68837865497076023</v>
          </cell>
        </row>
        <row r="6">
          <cell r="K6">
            <v>0.7717119883040936</v>
          </cell>
        </row>
        <row r="7">
          <cell r="K7">
            <v>0.7717119883040936</v>
          </cell>
        </row>
        <row r="8">
          <cell r="K8">
            <v>0.885045321637427</v>
          </cell>
        </row>
        <row r="9">
          <cell r="K9">
            <v>1.010045321637427</v>
          </cell>
        </row>
        <row r="10">
          <cell r="K10">
            <v>1.010045321637427</v>
          </cell>
        </row>
      </sheetData>
      <sheetData sheetId="8">
        <row r="2">
          <cell r="F2">
            <v>0.28680555555555554</v>
          </cell>
        </row>
        <row r="5">
          <cell r="K5">
            <v>1.8701388888888888</v>
          </cell>
        </row>
        <row r="6">
          <cell r="K6">
            <v>1.8701388888888888</v>
          </cell>
        </row>
        <row r="7">
          <cell r="K7">
            <v>1.8701388888888888</v>
          </cell>
        </row>
        <row r="8">
          <cell r="K8">
            <v>1.8701388888888888</v>
          </cell>
        </row>
        <row r="9">
          <cell r="K9">
            <v>1.3693055555555556</v>
          </cell>
        </row>
        <row r="10">
          <cell r="K10">
            <v>0.5443055555555556</v>
          </cell>
        </row>
      </sheetData>
      <sheetData sheetId="9">
        <row r="2">
          <cell r="F2" t="str">
            <v xml:space="preserve"> </v>
          </cell>
        </row>
        <row r="5">
          <cell r="K5">
            <v>0.3609738691260429</v>
          </cell>
        </row>
        <row r="6">
          <cell r="K6">
            <v>0.3609738691260429</v>
          </cell>
        </row>
        <row r="7">
          <cell r="K7">
            <v>0.33944609134826514</v>
          </cell>
        </row>
        <row r="8">
          <cell r="K8">
            <v>0.36920799611016991</v>
          </cell>
        </row>
        <row r="9">
          <cell r="K9">
            <v>0.27823577388794768</v>
          </cell>
        </row>
        <row r="10">
          <cell r="K10">
            <v>-5.1751599849426039E-2</v>
          </cell>
        </row>
      </sheetData>
      <sheetData sheetId="10">
        <row r="2">
          <cell r="F2" t="str">
            <v xml:space="preserve"> </v>
          </cell>
        </row>
        <row r="5">
          <cell r="K5">
            <v>1.3208985507246376</v>
          </cell>
        </row>
        <row r="6">
          <cell r="K6">
            <v>1.484092995169082</v>
          </cell>
        </row>
        <row r="7">
          <cell r="K7">
            <v>0.96673188405797084</v>
          </cell>
        </row>
        <row r="8">
          <cell r="K8">
            <v>1.0035374396135264</v>
          </cell>
        </row>
        <row r="9">
          <cell r="K9">
            <v>0.88062077294685959</v>
          </cell>
        </row>
        <row r="10">
          <cell r="K10">
            <v>0.89728743961352619</v>
          </cell>
        </row>
      </sheetData>
      <sheetData sheetId="11">
        <row r="2">
          <cell r="F2" t="str">
            <v xml:space="preserve"> </v>
          </cell>
        </row>
        <row r="5">
          <cell r="K5">
            <v>0.42947957839262196</v>
          </cell>
        </row>
        <row r="6">
          <cell r="K6">
            <v>0.39128513394817754</v>
          </cell>
        </row>
        <row r="7">
          <cell r="K7">
            <v>0.48932806324110684</v>
          </cell>
        </row>
        <row r="8">
          <cell r="K8">
            <v>0.61432806324110678</v>
          </cell>
        </row>
        <row r="9">
          <cell r="K9">
            <v>0.69297185409077999</v>
          </cell>
        </row>
        <row r="10">
          <cell r="K10">
            <v>0.58880518742411336</v>
          </cell>
        </row>
      </sheetData>
      <sheetData sheetId="12">
        <row r="2">
          <cell r="F2" t="str">
            <v xml:space="preserve"> </v>
          </cell>
        </row>
        <row r="5">
          <cell r="K5">
            <v>1.765366161616162</v>
          </cell>
        </row>
        <row r="6">
          <cell r="K6">
            <v>1.8584217171717174</v>
          </cell>
        </row>
        <row r="7">
          <cell r="K7">
            <v>2.2705429292929296</v>
          </cell>
        </row>
        <row r="8">
          <cell r="K8">
            <v>2.2406818181818187</v>
          </cell>
        </row>
        <row r="9">
          <cell r="K9">
            <v>2.0399873737373744</v>
          </cell>
        </row>
        <row r="10">
          <cell r="K10">
            <v>1.8246464646464653</v>
          </cell>
        </row>
      </sheetData>
      <sheetData sheetId="13">
        <row r="5">
          <cell r="K5"/>
        </row>
        <row r="6">
          <cell r="K6">
            <v>0.25</v>
          </cell>
        </row>
        <row r="7">
          <cell r="K7">
            <v>0.5</v>
          </cell>
        </row>
        <row r="8">
          <cell r="K8">
            <v>0.70833333333333326</v>
          </cell>
        </row>
        <row r="9">
          <cell r="K9">
            <v>0.71666666666666656</v>
          </cell>
        </row>
        <row r="10">
          <cell r="K10">
            <v>0.91388888888888875</v>
          </cell>
        </row>
      </sheetData>
      <sheetData sheetId="14">
        <row r="2">
          <cell r="F2" t="str">
            <v xml:space="preserve"> </v>
          </cell>
        </row>
        <row r="5">
          <cell r="K5">
            <v>1.221256038647343</v>
          </cell>
        </row>
        <row r="6">
          <cell r="K6">
            <v>0.94625603864734298</v>
          </cell>
        </row>
        <row r="7">
          <cell r="K7">
            <v>0.8726449275362318</v>
          </cell>
        </row>
        <row r="8">
          <cell r="K8">
            <v>1.0393115942028985</v>
          </cell>
        </row>
        <row r="9">
          <cell r="K9">
            <v>0.9422936203466894</v>
          </cell>
        </row>
        <row r="10">
          <cell r="K10">
            <v>0.61962947893254805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16" totalsRowShown="0">
  <autoFilter ref="A1:N16" xr:uid="{C7300799-99B8-4EB6-AE56-6C90EDB091F8}"/>
  <tableColumns count="14">
    <tableColumn id="1" xr3:uid="{404799F8-EF23-44D1-82C6-A022BF0100EC}" name="Agent"/>
    <tableColumn id="2" xr3:uid="{49CF3DF7-B131-4BEE-BA09-2968034BDBF5}" name="Solde 31/08" dataDxfId="12"/>
    <tableColumn id="7" xr3:uid="{E374D505-F3A4-4A54-B661-7A811C5C6CF0}" name="Janvier" dataDxfId="11">
      <calculatedColumnFormula>[1]CARPENTIER!$K$5</calculatedColumnFormula>
    </tableColumn>
    <tableColumn id="8" xr3:uid="{9D8E114C-EE46-411F-8DB7-F007D2820209}" name="Février" dataDxfId="10"/>
    <tableColumn id="5" xr3:uid="{944F841B-7157-43A7-BBF4-EE37DB90304B}" name="Mars" dataDxfId="9"/>
    <tableColumn id="6" xr3:uid="{D6979E67-6E41-4D87-8E2F-C77EC9B86F1C}" name="Avril" dataDxfId="8"/>
    <tableColumn id="4" xr3:uid="{73890115-5FC3-4C52-9738-5535D8C89AA6}" name="Mai" dataDxfId="7"/>
    <tableColumn id="3" xr3:uid="{C3AD0FE6-38FB-4AF2-A2FC-CD8C6AF1D34A}" name="Juin" dataDxfId="6"/>
    <tableColumn id="9" xr3:uid="{2CF88554-1C99-48F6-A58C-B366489DC66A}" name="Juillet" dataDxfId="5"/>
    <tableColumn id="10" xr3:uid="{92839190-8610-4DAD-9F46-735A99F92CBC}" name="Août" dataDxfId="4"/>
    <tableColumn id="11" xr3:uid="{29BF599E-3D07-4D08-9AF4-0E200B9474AF}" name="Septembre" dataDxfId="3"/>
    <tableColumn id="12" xr3:uid="{69B209A5-8270-436F-A131-3A88CE5DD18E}" name="Octobre" dataDxfId="2"/>
    <tableColumn id="13" xr3:uid="{5495805F-AD9C-4F16-87DB-C13BD64B4392}" name="Novembre" dataDxfId="1"/>
    <tableColumn id="14" xr3:uid="{4BC933CC-966E-4C7C-A940-6828309FC481}" name="Décemb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zoomScale="150" zoomScaleNormal="150" workbookViewId="0">
      <selection activeCell="B10" sqref="B10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[1]CARPENTIER!$F$2</f>
        <v xml:space="preserve"> </v>
      </c>
      <c r="C2" s="1">
        <f>[1]CARPENTIER!$K$5</f>
        <v>0.21603535353535347</v>
      </c>
      <c r="D2" s="1">
        <f>[1]CARPENTIER!$K$6</f>
        <v>0.2132575757575757</v>
      </c>
      <c r="E2" s="1">
        <f>[1]CARPENTIER!$K$7</f>
        <v>0.20101010101010094</v>
      </c>
      <c r="F2" s="1">
        <f>[1]CARPENTIER!$K$8</f>
        <v>0.27462121212121204</v>
      </c>
      <c r="G2" s="1">
        <f>[1]CARPENTIER!$K$9</f>
        <v>0.38871434937611399</v>
      </c>
      <c r="H2" s="1">
        <f>[1]CARPENTIER!$K$10</f>
        <v>0.38107546048722513</v>
      </c>
      <c r="I2" s="1"/>
      <c r="J2" s="1"/>
      <c r="K2" s="1"/>
      <c r="L2" s="1"/>
      <c r="M2" s="1"/>
      <c r="N2" s="1"/>
    </row>
    <row r="3" spans="1:14" x14ac:dyDescent="0.25">
      <c r="A3" t="s">
        <v>15</v>
      </c>
      <c r="B3" s="1" t="str">
        <f>[1]DAIX!$F$2</f>
        <v xml:space="preserve"> </v>
      </c>
      <c r="C3" s="1">
        <f>[1]DAIX!$K$5</f>
        <v>-0.55346398770311822</v>
      </c>
      <c r="D3" s="1">
        <f>[1]DAIX!$K$6</f>
        <v>-0.42151954325867375</v>
      </c>
      <c r="E3" s="1">
        <f>[1]DAIX!$K$7</f>
        <v>-2.7390755379885834E-2</v>
      </c>
      <c r="F3" s="1">
        <f>[1]DAIX!$K$8</f>
        <v>-0.10625980299893345</v>
      </c>
      <c r="G3" s="1">
        <f>[1]DAIX!$K$9</f>
        <v>3.8184641445510981E-2</v>
      </c>
      <c r="H3" s="1">
        <f>[1]DAIX!$K$10</f>
        <v>0.17985130811217764</v>
      </c>
      <c r="I3" s="1"/>
      <c r="J3" s="1"/>
      <c r="K3" s="1"/>
      <c r="L3" s="1"/>
      <c r="M3" s="1"/>
      <c r="N3" s="1"/>
    </row>
    <row r="4" spans="1:14" x14ac:dyDescent="0.25">
      <c r="A4" t="s">
        <v>16</v>
      </c>
      <c r="B4" s="1" t="str">
        <f>'[1]DE LUCIA'!$F$2</f>
        <v xml:space="preserve"> </v>
      </c>
      <c r="C4" s="1">
        <f>'[1]DE LUCIA'!$K$5</f>
        <v>1.0535833333333335</v>
      </c>
      <c r="D4" s="1">
        <f>'[1]DE LUCIA'!$K$6</f>
        <v>1.1480277777777781</v>
      </c>
      <c r="E4" s="1">
        <f>'[1]DE LUCIA'!$K$7</f>
        <v>1.4640000000000004</v>
      </c>
      <c r="F4" s="1">
        <f>'[1]DE LUCIA'!$K$8</f>
        <v>1.1716388888888893</v>
      </c>
      <c r="G4" s="1">
        <f>'[1]DE LUCIA'!$K$9</f>
        <v>0.90627777777777818</v>
      </c>
      <c r="H4" s="1">
        <f>'[1]DE LUCIA'!$K$10</f>
        <v>0.78694444444444478</v>
      </c>
      <c r="I4" s="1"/>
      <c r="J4" s="1"/>
      <c r="K4" s="1"/>
      <c r="L4" s="1"/>
      <c r="M4" s="1"/>
      <c r="N4" s="1"/>
    </row>
    <row r="5" spans="1:14" x14ac:dyDescent="0.25">
      <c r="A5" t="s">
        <v>17</v>
      </c>
      <c r="B5" s="1" t="str">
        <f>[1]DENIS!$F$2</f>
        <v xml:space="preserve"> </v>
      </c>
      <c r="C5" s="1">
        <f>[1]DENIS!$K$5</f>
        <v>0.81328282828282827</v>
      </c>
      <c r="D5" s="1">
        <f>[1]DENIS!$K$6</f>
        <v>0.78133838383838383</v>
      </c>
      <c r="E5" s="1">
        <f>[1]DENIS!$K$7</f>
        <v>0.68064393939393941</v>
      </c>
      <c r="F5" s="1">
        <f>[1]DENIS!$K$8</f>
        <v>0.57231060606060602</v>
      </c>
      <c r="G5" s="1">
        <f>[1]DENIS!$K$9</f>
        <v>0.58550505050505053</v>
      </c>
      <c r="H5" s="1">
        <f>[1]DENIS!$K$10</f>
        <v>0.59522727272727272</v>
      </c>
      <c r="I5" s="1"/>
      <c r="J5" s="1"/>
      <c r="K5" s="1"/>
      <c r="L5" s="1"/>
      <c r="M5" s="1"/>
      <c r="N5" s="1"/>
    </row>
    <row r="6" spans="1:14" x14ac:dyDescent="0.25">
      <c r="A6" t="s">
        <v>18</v>
      </c>
      <c r="B6" s="1" t="str">
        <f>[1]DEROY!$F$2</f>
        <v xml:space="preserve"> </v>
      </c>
      <c r="C6" s="1">
        <f>[1]DEROY!$K$5</f>
        <v>1.5696859903381644</v>
      </c>
      <c r="D6" s="1">
        <f>[1]DEROY!$K$6</f>
        <v>1.4051026570048311</v>
      </c>
      <c r="E6" s="1">
        <f>[1]DEROY!$K$7</f>
        <v>1.7599637681159421</v>
      </c>
      <c r="F6" s="1">
        <f>[1]DEROY!$K$8</f>
        <v>1.8748447204968945</v>
      </c>
      <c r="G6" s="1">
        <f>[1]DEROY!$K$9</f>
        <v>1.6907352433727116</v>
      </c>
      <c r="H6" s="1">
        <f>[1]DEROY!$K$10</f>
        <v>1.436568576706045</v>
      </c>
      <c r="I6" s="1"/>
      <c r="J6" s="1"/>
      <c r="K6" s="1"/>
      <c r="L6" s="1"/>
      <c r="M6" s="1"/>
      <c r="N6" s="1"/>
    </row>
    <row r="7" spans="1:14" x14ac:dyDescent="0.25">
      <c r="A7" t="s">
        <v>19</v>
      </c>
      <c r="B7" s="1" t="str">
        <f>[1]DJEUKOUA!$F$2</f>
        <v xml:space="preserve"> </v>
      </c>
      <c r="C7" s="1">
        <f>[1]DJEUKOUA!$K$5</f>
        <v>0.6487725943646997</v>
      </c>
      <c r="D7" s="1">
        <f>[1]DJEUKOUA!$K$6</f>
        <v>0.42793926103136637</v>
      </c>
      <c r="E7" s="1">
        <f>[1]DJEUKOUA!$K$7</f>
        <v>0.51992158426368951</v>
      </c>
      <c r="F7" s="1">
        <f>[1]DJEUKOUA!$K$8</f>
        <v>0.48103269537480065</v>
      </c>
      <c r="G7" s="1">
        <f>[1]DJEUKOUA!$K$9</f>
        <v>0.45464380648591174</v>
      </c>
      <c r="H7" s="1">
        <f>[1]DJEUKOUA!$K$10</f>
        <v>0.14649986709197235</v>
      </c>
      <c r="I7" s="1"/>
      <c r="J7" s="1"/>
      <c r="K7" s="1"/>
      <c r="L7" s="1"/>
      <c r="M7" s="1"/>
      <c r="N7" s="1"/>
    </row>
    <row r="8" spans="1:14" x14ac:dyDescent="0.25">
      <c r="A8" t="s">
        <v>20</v>
      </c>
      <c r="B8" s="1" t="str">
        <f>[1]HIDALGO!$F$2</f>
        <v xml:space="preserve"> </v>
      </c>
      <c r="C8" s="1">
        <f>[1]HIDALGO!$K$5</f>
        <v>1.4604166666666676</v>
      </c>
      <c r="D8" s="1">
        <f>[1]HIDALGO!$K$6</f>
        <v>1.5104166666666676</v>
      </c>
      <c r="E8" s="1">
        <f>[1]HIDALGO!$K$7</f>
        <v>1.31388888888889</v>
      </c>
      <c r="F8" s="1">
        <f>[1]HIDALGO!$K$8</f>
        <v>1.3388888888888901</v>
      </c>
      <c r="G8" s="1">
        <f>[1]HIDALGO!$K$9</f>
        <v>1.4368055555555568</v>
      </c>
      <c r="H8" s="1">
        <f>[1]HIDALGO!$K$10</f>
        <v>1.2569444444444458</v>
      </c>
      <c r="I8" s="1"/>
      <c r="J8" s="1"/>
      <c r="K8" s="1"/>
      <c r="L8" s="1"/>
      <c r="M8" s="1"/>
      <c r="N8" s="1"/>
    </row>
    <row r="9" spans="1:14" x14ac:dyDescent="0.25">
      <c r="A9" t="s">
        <v>21</v>
      </c>
      <c r="B9" s="1" t="str">
        <f>[1]LOGIST!$F$2</f>
        <v xml:space="preserve"> </v>
      </c>
      <c r="C9" s="1">
        <f>[1]LOGIST!$K$5</f>
        <v>0.68837865497076023</v>
      </c>
      <c r="D9" s="1">
        <f>[1]LOGIST!$K$6</f>
        <v>0.7717119883040936</v>
      </c>
      <c r="E9" s="1">
        <f>[1]LOGIST!$K$7</f>
        <v>0.7717119883040936</v>
      </c>
      <c r="F9" s="1">
        <f>[1]LOGIST!$K$8</f>
        <v>0.885045321637427</v>
      </c>
      <c r="G9" s="1">
        <f>[1]LOGIST!$K$9</f>
        <v>1.010045321637427</v>
      </c>
      <c r="H9" s="1">
        <f>[1]LOGIST!$K$10</f>
        <v>1.010045321637427</v>
      </c>
      <c r="I9" s="1"/>
      <c r="J9" s="1"/>
      <c r="K9" s="1"/>
      <c r="L9" s="1"/>
      <c r="M9" s="1"/>
      <c r="N9" s="1"/>
    </row>
    <row r="10" spans="1:14" x14ac:dyDescent="0.25">
      <c r="A10" t="s">
        <v>22</v>
      </c>
      <c r="B10" s="1">
        <f>[1]MARTINOT!$F$2</f>
        <v>0.28680555555555554</v>
      </c>
      <c r="C10" s="1">
        <f>[1]MARTINOT!$K$5</f>
        <v>1.8701388888888888</v>
      </c>
      <c r="D10" s="1">
        <f>[1]MARTINOT!$K$6</f>
        <v>1.8701388888888888</v>
      </c>
      <c r="E10" s="1">
        <f>[1]MARTINOT!$K$7</f>
        <v>1.8701388888888888</v>
      </c>
      <c r="F10" s="1">
        <f>[1]MARTINOT!$K$8</f>
        <v>1.8701388888888888</v>
      </c>
      <c r="G10" s="1">
        <f>[1]MARTINOT!$K$9</f>
        <v>1.3693055555555556</v>
      </c>
      <c r="H10" s="1">
        <f>[1]MARTINOT!$K$10</f>
        <v>0.5443055555555556</v>
      </c>
      <c r="I10" s="1"/>
      <c r="J10" s="1"/>
      <c r="K10" s="1"/>
      <c r="L10" s="1"/>
      <c r="M10" s="1"/>
      <c r="N10" s="1"/>
    </row>
    <row r="11" spans="1:14" x14ac:dyDescent="0.25">
      <c r="A11" t="s">
        <v>23</v>
      </c>
      <c r="B11" s="1" t="str">
        <f>[1]POURLIER!$F$2</f>
        <v xml:space="preserve"> </v>
      </c>
      <c r="C11" s="1">
        <f>[1]POURLIER!$K$5</f>
        <v>0.3609738691260429</v>
      </c>
      <c r="D11" s="1">
        <f>[1]POURLIER!$K$6</f>
        <v>0.3609738691260429</v>
      </c>
      <c r="E11" s="1">
        <f>[1]POURLIER!$K$7</f>
        <v>0.33944609134826514</v>
      </c>
      <c r="F11" s="1">
        <f>[1]POURLIER!$K$8</f>
        <v>0.36920799611016991</v>
      </c>
      <c r="G11" s="1">
        <f>[1]POURLIER!$K$9</f>
        <v>0.27823577388794768</v>
      </c>
      <c r="H11" s="1">
        <f>[1]POURLIER!$K$10</f>
        <v>-5.1751599849426039E-2</v>
      </c>
      <c r="I11" s="1"/>
      <c r="J11" s="1"/>
      <c r="K11" s="1"/>
      <c r="L11" s="1"/>
      <c r="M11" s="1"/>
      <c r="N11" s="1"/>
    </row>
    <row r="12" spans="1:14" x14ac:dyDescent="0.25">
      <c r="A12" t="s">
        <v>24</v>
      </c>
      <c r="B12" s="1" t="str">
        <f>[1]SEVRIN!$F$2</f>
        <v xml:space="preserve"> </v>
      </c>
      <c r="C12" s="1">
        <f>[1]SEVRIN!$K$5</f>
        <v>1.3208985507246376</v>
      </c>
      <c r="D12" s="1">
        <f>[1]SEVRIN!$K$6</f>
        <v>1.484092995169082</v>
      </c>
      <c r="E12" s="1">
        <f>[1]SEVRIN!$K$7</f>
        <v>0.96673188405797084</v>
      </c>
      <c r="F12" s="1">
        <f>[1]SEVRIN!$K$8</f>
        <v>1.0035374396135264</v>
      </c>
      <c r="G12" s="1">
        <f>[1]SEVRIN!$K$9</f>
        <v>0.88062077294685959</v>
      </c>
      <c r="H12" s="1">
        <f>[1]SEVRIN!$K$10</f>
        <v>0.89728743961352619</v>
      </c>
      <c r="I12" s="1"/>
      <c r="J12" s="1"/>
      <c r="K12" s="1"/>
      <c r="L12" s="1"/>
      <c r="M12" s="1"/>
      <c r="N12" s="1"/>
    </row>
    <row r="13" spans="1:14" x14ac:dyDescent="0.25">
      <c r="A13" t="s">
        <v>25</v>
      </c>
      <c r="B13" s="1" t="str">
        <f>[1]VANDENBOSCH!$F$2</f>
        <v xml:space="preserve"> </v>
      </c>
      <c r="C13" s="1">
        <f>[1]VANDENBOSCH!$K$5</f>
        <v>0.42947957839262196</v>
      </c>
      <c r="D13" s="1">
        <f>[1]VANDENBOSCH!$K$6</f>
        <v>0.39128513394817754</v>
      </c>
      <c r="E13" s="1">
        <f>[1]VANDENBOSCH!$K$7</f>
        <v>0.48932806324110684</v>
      </c>
      <c r="F13" s="1">
        <f>[1]VANDENBOSCH!$K$8</f>
        <v>0.61432806324110678</v>
      </c>
      <c r="G13" s="1">
        <f>[1]VANDENBOSCH!$K$9</f>
        <v>0.69297185409077999</v>
      </c>
      <c r="H13" s="1">
        <f>[1]VANDENBOSCH!$K$10</f>
        <v>0.58880518742411336</v>
      </c>
      <c r="I13" s="1"/>
      <c r="J13" s="1"/>
      <c r="K13" s="1"/>
      <c r="L13" s="1"/>
      <c r="M13" s="1"/>
      <c r="N13" s="1"/>
    </row>
    <row r="14" spans="1:14" x14ac:dyDescent="0.25">
      <c r="A14" t="s">
        <v>26</v>
      </c>
      <c r="B14" s="1" t="str">
        <f>[1]VILCHES!$F$2</f>
        <v xml:space="preserve"> </v>
      </c>
      <c r="C14" s="1">
        <f>[1]VILCHES!$K$5</f>
        <v>1.765366161616162</v>
      </c>
      <c r="D14" s="1">
        <f>[1]VILCHES!$K$6</f>
        <v>1.8584217171717174</v>
      </c>
      <c r="E14" s="1">
        <f>[1]VILCHES!$K$7</f>
        <v>2.2705429292929296</v>
      </c>
      <c r="F14" s="1">
        <f>[1]VILCHES!$K$8</f>
        <v>2.2406818181818187</v>
      </c>
      <c r="G14" s="1">
        <f>[1]VILCHES!$K$9</f>
        <v>2.0399873737373744</v>
      </c>
      <c r="H14" s="1">
        <f>[1]VILCHES!$K$10</f>
        <v>1.8246464646464653</v>
      </c>
      <c r="I14" s="1"/>
      <c r="J14" s="1"/>
      <c r="K14" s="1"/>
      <c r="L14" s="1"/>
      <c r="M14" s="1"/>
      <c r="N14" s="1"/>
    </row>
    <row r="15" spans="1:14" x14ac:dyDescent="0.25">
      <c r="A15" t="s">
        <v>27</v>
      </c>
      <c r="B15" s="1"/>
      <c r="C15" s="1">
        <f>[1]VITARELLA!$K$5</f>
        <v>0</v>
      </c>
      <c r="D15" s="1">
        <f>[1]VITARELLA!$K$6</f>
        <v>0.25</v>
      </c>
      <c r="E15" s="1">
        <f>[1]VITARELLA!$K$7</f>
        <v>0.5</v>
      </c>
      <c r="F15" s="1">
        <f>[1]VITARELLA!$K$8</f>
        <v>0.70833333333333326</v>
      </c>
      <c r="G15" s="1">
        <f>[1]VITARELLA!$K$9</f>
        <v>0.71666666666666656</v>
      </c>
      <c r="H15" s="1">
        <f>[1]VITARELLA!$K$10</f>
        <v>0.91388888888888875</v>
      </c>
      <c r="I15" s="1"/>
      <c r="J15" s="1"/>
      <c r="K15" s="1"/>
      <c r="L15" s="1"/>
      <c r="M15" s="1"/>
      <c r="N15" s="1"/>
    </row>
    <row r="16" spans="1:14" x14ac:dyDescent="0.25">
      <c r="A16" t="s">
        <v>28</v>
      </c>
      <c r="B16" s="1" t="str">
        <f>[1]WAUTHELET!$F$2</f>
        <v xml:space="preserve"> </v>
      </c>
      <c r="C16" s="1">
        <f>[1]WAUTHELET!$K$5</f>
        <v>1.221256038647343</v>
      </c>
      <c r="D16" s="1">
        <f>[1]WAUTHELET!$K$6</f>
        <v>0.94625603864734298</v>
      </c>
      <c r="E16" s="1">
        <f>[1]WAUTHELET!$K$7</f>
        <v>0.8726449275362318</v>
      </c>
      <c r="F16" s="1">
        <f>[1]WAUTHELET!$K$8</f>
        <v>1.0393115942028985</v>
      </c>
      <c r="G16" s="1">
        <f>[1]WAUTHELET!$K$9</f>
        <v>0.9422936203466894</v>
      </c>
      <c r="H16" s="1">
        <f>[1]WAUTHELET!$K$10</f>
        <v>0.61962947893254805</v>
      </c>
      <c r="I16" s="1"/>
      <c r="J16" s="1"/>
      <c r="K16" s="1"/>
      <c r="L16" s="1"/>
      <c r="M16" s="1"/>
      <c r="N16" s="1"/>
    </row>
  </sheetData>
  <phoneticPr fontId="1" type="noConversion"/>
  <pageMargins left="0.7" right="0.7" top="0.75" bottom="0.75" header="0.3" footer="0.3"/>
  <ignoredErrors>
    <ignoredError sqref="C3 C4 C5 C6 C7 C8 C9 C10 C11 C12 C13 C14:C1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3" ma:contentTypeDescription="Create a new document." ma:contentTypeScope="" ma:versionID="8d38a96a4d79b2def39fba2b13310c82">
  <xsd:schema xmlns:xsd="http://www.w3.org/2001/XMLSchema" xmlns:xs="http://www.w3.org/2001/XMLSchema" xmlns:p="http://schemas.microsoft.com/office/2006/metadata/properties" xmlns:ns2="d07ca0ec-5157-41b5-8d0f-93bd9610df36" targetNamespace="http://schemas.microsoft.com/office/2006/metadata/properties" ma:root="true" ma:fieldsID="650d5ff0aa0ee8df015896b7da2573e9" ns2:_=""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78B70F-238A-40F4-84C7-B703B6DF75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DEWEZ Bastien</dc:creator>
  <cp:keywords/>
  <dc:description/>
  <cp:lastModifiedBy>DEWEZ Bastien</cp:lastModifiedBy>
  <cp:revision/>
  <dcterms:created xsi:type="dcterms:W3CDTF">2015-06-05T18:19:34Z</dcterms:created>
  <dcterms:modified xsi:type="dcterms:W3CDTF">2026-07-07T10:56:13Z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</Properties>
</file>