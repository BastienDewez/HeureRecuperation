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ate1904="1"/>
  <mc:AlternateContent xmlns:mc="http://schemas.openxmlformats.org/markup-compatibility/2006">
    <mc:Choice Requires="x15">
      <x15ac:absPath xmlns:x15ac="http://schemas.microsoft.com/office/spreadsheetml/2010/11/ac" url="https://fwb365.sharepoint.com/sites/CPM-Prestationloisir/Shared Documents/Prestations Loisirs/"/>
    </mc:Choice>
  </mc:AlternateContent>
  <xr:revisionPtr revIDLastSave="799" documentId="11_8BA3C09E2DF16CD648EA96253F05920B2FF8C28C" xr6:coauthVersionLast="47" xr6:coauthVersionMax="47" xr10:uidLastSave="{D2F14847-9C1F-42C2-AD1D-18AE03FA0B1C}"/>
  <bookViews>
    <workbookView xWindow="-23148" yWindow="-108" windowWidth="23256" windowHeight="12456" activeTab="1" xr2:uid="{00000000-000D-0000-FFFF-FFFF00000000}"/>
  </bookViews>
  <sheets>
    <sheet name="2025" sheetId="2" r:id="rId1"/>
    <sheet name="2026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21" i="1" l="1"/>
  <c r="I14" i="1"/>
  <c r="I4" i="1"/>
  <c r="I22" i="1" l="1"/>
  <c r="I20" i="1"/>
  <c r="I19" i="1"/>
  <c r="I18" i="1"/>
  <c r="I16" i="1"/>
  <c r="I15" i="1"/>
  <c r="I7" i="1"/>
  <c r="I13" i="1" l="1"/>
  <c r="I10" i="1"/>
  <c r="I9" i="1"/>
  <c r="I6" i="1"/>
  <c r="I5" i="1"/>
  <c r="I3" i="1"/>
  <c r="N24" i="2" l="1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H14" i="1" l="1"/>
  <c r="H21" i="1" l="1"/>
  <c r="H4" i="1"/>
  <c r="H22" i="1" l="1"/>
  <c r="H20" i="1"/>
  <c r="H19" i="1"/>
  <c r="H18" i="1"/>
  <c r="H16" i="1"/>
  <c r="H15" i="1"/>
  <c r="H13" i="1" l="1"/>
  <c r="H11" i="1"/>
  <c r="H10" i="1"/>
  <c r="H9" i="1"/>
  <c r="H7" i="1"/>
  <c r="H6" i="1"/>
  <c r="H5" i="1"/>
  <c r="H3" i="1"/>
  <c r="H2" i="1"/>
  <c r="G23" i="1" l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7" i="1"/>
  <c r="G6" i="1"/>
  <c r="G5" i="1"/>
  <c r="G4" i="1"/>
  <c r="G3" i="1"/>
  <c r="G2" i="1"/>
  <c r="F14" i="1"/>
  <c r="F23" i="1" l="1"/>
  <c r="F21" i="1"/>
  <c r="F8" i="1"/>
  <c r="F6" i="1"/>
  <c r="F4" i="1"/>
  <c r="F20" i="1" l="1"/>
  <c r="F17" i="1"/>
  <c r="F16" i="1"/>
  <c r="F13" i="1"/>
  <c r="F10" i="1"/>
  <c r="F22" i="1" l="1"/>
  <c r="F19" i="1"/>
  <c r="F18" i="1"/>
  <c r="F15" i="1"/>
  <c r="F11" i="1"/>
  <c r="F9" i="1"/>
  <c r="F7" i="1"/>
  <c r="F5" i="1"/>
  <c r="F3" i="1"/>
  <c r="F2" i="1"/>
  <c r="F12" i="1" l="1"/>
  <c r="D23" i="1" l="1"/>
  <c r="D21" i="1"/>
  <c r="D8" i="1"/>
  <c r="D6" i="1"/>
  <c r="D4" i="1"/>
  <c r="D14" i="1" l="1"/>
  <c r="D20" i="1" l="1"/>
  <c r="D17" i="1"/>
  <c r="D16" i="1"/>
  <c r="D10" i="1"/>
  <c r="D22" i="1" l="1"/>
  <c r="D19" i="1"/>
  <c r="D18" i="1"/>
  <c r="D15" i="1"/>
  <c r="D11" i="1"/>
  <c r="D9" i="1"/>
  <c r="D7" i="1"/>
  <c r="D5" i="1"/>
  <c r="D3" i="1"/>
  <c r="D2" i="1"/>
  <c r="D12" i="1" l="1"/>
  <c r="C21" i="1" l="1"/>
  <c r="C8" i="1"/>
  <c r="C4" i="1"/>
  <c r="C23" i="1" l="1"/>
  <c r="C14" i="1"/>
  <c r="C22" i="1" l="1"/>
  <c r="C20" i="1"/>
  <c r="C19" i="1"/>
  <c r="C18" i="1"/>
  <c r="C17" i="1"/>
  <c r="C16" i="1"/>
  <c r="C15" i="1"/>
  <c r="C13" i="1"/>
  <c r="C11" i="1" l="1"/>
  <c r="C10" i="1"/>
  <c r="C9" i="1"/>
  <c r="C7" i="1"/>
  <c r="C6" i="1"/>
  <c r="C5" i="1"/>
  <c r="C3" i="1"/>
  <c r="C2" i="1"/>
  <c r="C12" i="1" l="1"/>
  <c r="E23" i="1" l="1"/>
  <c r="E21" i="1"/>
  <c r="E8" i="1"/>
  <c r="E6" i="1"/>
  <c r="E4" i="1"/>
  <c r="E14" i="1" l="1"/>
  <c r="D13" i="1" l="1"/>
  <c r="E20" i="1" l="1"/>
  <c r="E17" i="1"/>
  <c r="E16" i="1"/>
  <c r="E13" i="1"/>
  <c r="E10" i="1"/>
  <c r="E22" i="1" l="1"/>
  <c r="E19" i="1"/>
  <c r="E18" i="1"/>
  <c r="E15" i="1"/>
  <c r="E11" i="1"/>
  <c r="E9" i="1"/>
  <c r="E7" i="1"/>
  <c r="E5" i="1"/>
  <c r="E3" i="1"/>
  <c r="E2" i="1"/>
  <c r="E12" i="1" l="1"/>
  <c r="B23" i="1" l="1"/>
  <c r="B9" i="1"/>
  <c r="B10" i="1" l="1"/>
  <c r="B19" i="1"/>
  <c r="B14" i="1"/>
  <c r="B16" i="1"/>
  <c r="B21" i="1"/>
  <c r="B4" i="1"/>
  <c r="B3" i="1" l="1"/>
  <c r="B2" i="1"/>
  <c r="H23" i="1" l="1"/>
  <c r="H8" i="1" l="1"/>
  <c r="G8" i="1"/>
  <c r="I23" i="1"/>
  <c r="I8" i="1" l="1"/>
  <c r="J23" i="1" l="1"/>
  <c r="J21" i="1"/>
  <c r="J14" i="1"/>
  <c r="J8" i="1"/>
  <c r="J4" i="1"/>
  <c r="B22" i="1" l="1"/>
  <c r="B20" i="1"/>
  <c r="B18" i="1"/>
  <c r="H17" i="1"/>
  <c r="B17" i="1"/>
  <c r="B15" i="1"/>
  <c r="I17" i="1" l="1"/>
  <c r="H12" i="1"/>
  <c r="B13" i="1"/>
  <c r="B12" i="1"/>
  <c r="B11" i="1"/>
  <c r="B7" i="1"/>
  <c r="B6" i="1"/>
  <c r="B5" i="1"/>
  <c r="I11" i="1" l="1"/>
  <c r="I12" i="1"/>
  <c r="J17" i="1"/>
  <c r="J22" i="1" l="1"/>
  <c r="J20" i="1"/>
  <c r="J19" i="1"/>
  <c r="J18" i="1"/>
  <c r="J16" i="1"/>
  <c r="J15" i="1"/>
  <c r="J2" i="1"/>
  <c r="J13" i="1"/>
  <c r="J12" i="1"/>
  <c r="J7" i="1"/>
  <c r="J11" i="1" l="1"/>
  <c r="J10" i="1"/>
  <c r="J9" i="1"/>
  <c r="J6" i="1"/>
  <c r="J5" i="1"/>
  <c r="J3" i="1"/>
</calcChain>
</file>

<file path=xl/sharedStrings.xml><?xml version="1.0" encoding="utf-8"?>
<sst xmlns="http://schemas.openxmlformats.org/spreadsheetml/2006/main" count="73" uniqueCount="37">
  <si>
    <t>Agent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</si>
  <si>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</si>
  <si>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</si>
  <si>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</si>
  <si>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</si>
  <si>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</si>
  <si>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</si>
  <si>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</si>
  <si>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</si>
  <si>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</si>
  <si>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</si>
  <si>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</si>
  <si>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</si>
  <si>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Becker Dylan</t>
  </si>
  <si>
    <t>Boussifet Gérard</t>
  </si>
  <si>
    <t>Delforge Jonathan</t>
  </si>
  <si>
    <t>Dewez Xavier</t>
  </si>
  <si>
    <t>Dirick Michel</t>
  </si>
  <si>
    <t>Duchene Michael</t>
  </si>
  <si>
    <t>Heirbrant Adrien</t>
  </si>
  <si>
    <t>Inzerilli Nicolo</t>
  </si>
  <si>
    <t>Jamar Benoit</t>
  </si>
  <si>
    <t>Jamart Daniel</t>
  </si>
  <si>
    <t>Lambert Emerick</t>
  </si>
  <si>
    <t>Lemaitre Morgand</t>
  </si>
  <si>
    <t>Moscato Victor</t>
  </si>
  <si>
    <t>Nezer Patrick</t>
  </si>
  <si>
    <t>Pesesse Nicolas</t>
  </si>
  <si>
    <t>Susam Ismail</t>
  </si>
  <si>
    <t>Kinif Joseph</t>
  </si>
  <si>
    <t>Labbé Lionel</t>
  </si>
  <si>
    <t>Tibeau Sébastien</t>
  </si>
  <si>
    <t>Deklerck Gaetan</t>
  </si>
  <si>
    <t>Seghiar Imrane</t>
  </si>
  <si>
    <t>Solde 31/08</t>
  </si>
  <si>
    <t>Duruisseau Antoine</t>
  </si>
  <si>
    <t>Liégeois Joell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</si>
</sst>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6"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PM-PrestationsAgentsCPM/Shared%20Documents/Prestations%20Agents%20CPM/CalculHeureLoisir.xlsx" TargetMode="External"/><Relationship Id="rId2" Type="http://schemas.openxmlformats.org/officeDocument/2006/relationships/externalLinkPath" Target="https://fwb365.sharepoint.com/sites/CPM-PrestationsAgentsCPM/Shared%20Documents/Prestations%20Agents%20CPM/CalculHeureLoisir.xlsx" TargetMode="External"/><Relationship Id="rId1" Type="http://schemas.openxmlformats.org/officeDocument/2006/relationships/externalLinkPath" Target="/sites/CPM-PrestationsAgentsCPM/Shared%20Documents/Prestations%20Agents%20CPM/CalculHeureLois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NCART"/>
      <sheetName val="BECKER"/>
      <sheetName val="BOUSSIFET"/>
      <sheetName val="DEKLERCK"/>
      <sheetName val="DELFORGE"/>
      <sheetName val="DEWEZ"/>
      <sheetName val="DI CROCE"/>
      <sheetName val="DIRICK"/>
      <sheetName val="DUCHENE"/>
      <sheetName val="DURUISSEAU"/>
      <sheetName val="HEIRBRANT"/>
      <sheetName val="INZERILLI"/>
      <sheetName val="JAMAR"/>
      <sheetName val="JAMART"/>
      <sheetName val="KINIF"/>
      <sheetName val="LABBE"/>
      <sheetName val="LAMBERT"/>
      <sheetName val="LEMAITRE"/>
      <sheetName val="LEONARD"/>
      <sheetName val="LIEGEOIS"/>
      <sheetName val="MOSCATO"/>
      <sheetName val="NEZER"/>
      <sheetName val="PESESSE"/>
      <sheetName val="SEGHIAR"/>
      <sheetName val="SELLIERE"/>
      <sheetName val="SUSAM"/>
      <sheetName val="TIBEAU"/>
    </sheetNames>
    <sheetDataSet>
      <sheetData sheetId="0"/>
      <sheetData sheetId="1">
        <row r="2">
          <cell r="F2" t="str">
            <v xml:space="preserve"> </v>
          </cell>
        </row>
        <row r="5">
          <cell r="K5">
            <v>1.6583333333333339</v>
          </cell>
        </row>
        <row r="6">
          <cell r="K6">
            <v>1.769444444444445</v>
          </cell>
        </row>
        <row r="7">
          <cell r="K7">
            <v>2.3296717171717174</v>
          </cell>
        </row>
        <row r="8">
          <cell r="K8">
            <v>2.0859217171717175</v>
          </cell>
        </row>
        <row r="9">
          <cell r="K9">
            <v>1.4623106060606064</v>
          </cell>
        </row>
        <row r="10">
          <cell r="K10">
            <v>1.2900883838383841</v>
          </cell>
        </row>
        <row r="11">
          <cell r="K11">
            <v>1.135227272727273</v>
          </cell>
        </row>
        <row r="12">
          <cell r="K12">
            <v>1.1595328282828286</v>
          </cell>
        </row>
        <row r="19">
          <cell r="E19" t="str">
            <v xml:space="preserve"> </v>
          </cell>
        </row>
        <row r="22">
          <cell r="K22">
            <v>2.3972222222222221</v>
          </cell>
        </row>
        <row r="23">
          <cell r="K23">
            <v>2.3222222222222224</v>
          </cell>
        </row>
        <row r="24">
          <cell r="K24">
            <v>2.9736111111111114</v>
          </cell>
        </row>
        <row r="25">
          <cell r="K25">
            <v>2.6104166666666671</v>
          </cell>
        </row>
        <row r="26">
          <cell r="K26">
            <v>2.4604166666666671</v>
          </cell>
        </row>
        <row r="27">
          <cell r="K27">
            <v>2.1034722222222224</v>
          </cell>
        </row>
        <row r="28">
          <cell r="K28">
            <v>2.2236111111111114</v>
          </cell>
        </row>
        <row r="29">
          <cell r="K29">
            <v>1.5888888888888892</v>
          </cell>
        </row>
        <row r="30">
          <cell r="K30">
            <v>1.5826388888888894</v>
          </cell>
        </row>
        <row r="31">
          <cell r="K31">
            <v>1.5326388888888893</v>
          </cell>
        </row>
        <row r="32">
          <cell r="K32">
            <v>1.8326388888888894</v>
          </cell>
        </row>
        <row r="33">
          <cell r="K33">
            <v>1.6715277777777784</v>
          </cell>
        </row>
      </sheetData>
      <sheetData sheetId="2">
        <row r="2">
          <cell r="F2" t="str">
            <v xml:space="preserve"> </v>
          </cell>
        </row>
        <row r="5">
          <cell r="K5">
            <v>2.1122083333333332</v>
          </cell>
        </row>
        <row r="6">
          <cell r="K6">
            <v>2.0302638888888889</v>
          </cell>
        </row>
        <row r="7">
          <cell r="K7">
            <v>2.0844305555555556</v>
          </cell>
        </row>
        <row r="8">
          <cell r="K8">
            <v>2.0512757936507935</v>
          </cell>
        </row>
        <row r="9">
          <cell r="K9">
            <v>2.0859980158730158</v>
          </cell>
        </row>
        <row r="10">
          <cell r="K10">
            <v>2.1943313492063492</v>
          </cell>
        </row>
        <row r="11">
          <cell r="K11">
            <v>2.1221091269841272</v>
          </cell>
        </row>
        <row r="12">
          <cell r="K12">
            <v>1.4796488095238096</v>
          </cell>
        </row>
        <row r="19">
          <cell r="E19" t="str">
            <v xml:space="preserve"> </v>
          </cell>
        </row>
        <row r="22">
          <cell r="K22">
            <v>1.5583333333333331</v>
          </cell>
        </row>
        <row r="23">
          <cell r="K23">
            <v>1.7041666666666664</v>
          </cell>
        </row>
        <row r="24">
          <cell r="K24">
            <v>1.6930555555555553</v>
          </cell>
        </row>
        <row r="25">
          <cell r="K25">
            <v>1.1138888888888887</v>
          </cell>
        </row>
        <row r="26">
          <cell r="K26">
            <v>1.3638888888888887</v>
          </cell>
        </row>
        <row r="27">
          <cell r="K27">
            <v>1.7138888888888888</v>
          </cell>
        </row>
        <row r="28">
          <cell r="K28">
            <v>1.8131944444444443</v>
          </cell>
        </row>
        <row r="29">
          <cell r="K29">
            <v>1.7272083333333332</v>
          </cell>
        </row>
        <row r="30">
          <cell r="K30">
            <v>1.9272083333333332</v>
          </cell>
        </row>
        <row r="31">
          <cell r="K31">
            <v>1.8355416666666664</v>
          </cell>
        </row>
        <row r="32">
          <cell r="K32">
            <v>1.9417916666666664</v>
          </cell>
        </row>
        <row r="33">
          <cell r="K33">
            <v>1.9420694444444442</v>
          </cell>
        </row>
      </sheetData>
      <sheetData sheetId="3">
        <row r="2">
          <cell r="F2" t="str">
            <v xml:space="preserve"> </v>
          </cell>
        </row>
        <row r="5">
          <cell r="K5">
            <v>0.36874999999999997</v>
          </cell>
        </row>
        <row r="6">
          <cell r="K6">
            <v>0.45277777777777772</v>
          </cell>
        </row>
        <row r="7">
          <cell r="K7">
            <v>0.47569444444444442</v>
          </cell>
        </row>
        <row r="8">
          <cell r="K8">
            <v>0.44374999999999998</v>
          </cell>
        </row>
        <row r="9">
          <cell r="K9">
            <v>0.51736111111111105</v>
          </cell>
        </row>
        <row r="10">
          <cell r="K10">
            <v>0.62455808080808073</v>
          </cell>
        </row>
        <row r="11">
          <cell r="K11">
            <v>0.70511363636363633</v>
          </cell>
        </row>
        <row r="12">
          <cell r="K12">
            <v>0.77386363636363631</v>
          </cell>
        </row>
        <row r="19">
          <cell r="E19">
            <v>0</v>
          </cell>
        </row>
        <row r="32">
          <cell r="K32">
            <v>0.25</v>
          </cell>
        </row>
        <row r="33">
          <cell r="K33">
            <v>0.29166666666666663</v>
          </cell>
        </row>
      </sheetData>
      <sheetData sheetId="4">
        <row r="2">
          <cell r="F2" t="str">
            <v xml:space="preserve"> </v>
          </cell>
        </row>
        <row r="5">
          <cell r="K5">
            <v>2.0722222222222224</v>
          </cell>
        </row>
        <row r="6">
          <cell r="K6">
            <v>1.6361111111111113</v>
          </cell>
        </row>
        <row r="7">
          <cell r="K7">
            <v>1.5250000000000001</v>
          </cell>
        </row>
        <row r="8">
          <cell r="K8">
            <v>1.1159722222222224</v>
          </cell>
        </row>
        <row r="9">
          <cell r="K9">
            <v>1.1145833333333335</v>
          </cell>
        </row>
        <row r="10">
          <cell r="K10">
            <v>1.0923611111111113</v>
          </cell>
        </row>
        <row r="11">
          <cell r="K11">
            <v>1.245138888888889</v>
          </cell>
        </row>
        <row r="12">
          <cell r="K12">
            <v>1.5685515873015874</v>
          </cell>
        </row>
        <row r="19">
          <cell r="E19" t="str">
            <v xml:space="preserve"> </v>
          </cell>
        </row>
        <row r="22">
          <cell r="K22">
            <v>0.15416666666666662</v>
          </cell>
        </row>
        <row r="23">
          <cell r="K23">
            <v>0.3027777777777777</v>
          </cell>
        </row>
        <row r="24">
          <cell r="K24">
            <v>1.0576388888888888</v>
          </cell>
        </row>
        <row r="25">
          <cell r="K25">
            <v>1.3076388888888888</v>
          </cell>
        </row>
        <row r="26">
          <cell r="K26">
            <v>1.5611111111111109</v>
          </cell>
        </row>
        <row r="27">
          <cell r="K27">
            <v>1.9791666666666667</v>
          </cell>
        </row>
        <row r="28">
          <cell r="K28">
            <v>2.2694444444444444</v>
          </cell>
        </row>
        <row r="29">
          <cell r="K29">
            <v>1.8916666666666666</v>
          </cell>
        </row>
        <row r="30">
          <cell r="K30">
            <v>1.7638888888888888</v>
          </cell>
        </row>
        <row r="31">
          <cell r="K31">
            <v>1.8569444444444443</v>
          </cell>
        </row>
        <row r="32">
          <cell r="K32">
            <v>1.9159722222222222</v>
          </cell>
        </row>
        <row r="33">
          <cell r="K33">
            <v>2.0090277777777779</v>
          </cell>
        </row>
      </sheetData>
      <sheetData sheetId="5">
        <row r="2">
          <cell r="F2" t="str">
            <v xml:space="preserve"> </v>
          </cell>
        </row>
        <row r="5">
          <cell r="K5">
            <v>0.50277777777777777</v>
          </cell>
        </row>
        <row r="6">
          <cell r="K6">
            <v>0.31944444444444442</v>
          </cell>
        </row>
        <row r="7">
          <cell r="K7">
            <v>1.2166666666666668</v>
          </cell>
        </row>
        <row r="8">
          <cell r="K8">
            <v>1.331388888888889</v>
          </cell>
        </row>
        <row r="9">
          <cell r="K9">
            <v>1.0084722222222222</v>
          </cell>
        </row>
        <row r="10">
          <cell r="K10">
            <v>1.18</v>
          </cell>
        </row>
        <row r="11">
          <cell r="K11">
            <v>1.1397222222222223</v>
          </cell>
        </row>
        <row r="12">
          <cell r="K12">
            <v>0.9976587301587303</v>
          </cell>
        </row>
        <row r="19">
          <cell r="E19" t="str">
            <v xml:space="preserve"> </v>
          </cell>
        </row>
        <row r="26">
          <cell r="K26">
            <v>1.7361111111111105E-2</v>
          </cell>
        </row>
        <row r="27">
          <cell r="K27">
            <v>0.49375000000000002</v>
          </cell>
        </row>
        <row r="28">
          <cell r="K28">
            <v>0.75</v>
          </cell>
        </row>
        <row r="29">
          <cell r="K29">
            <v>0.76041666666666663</v>
          </cell>
        </row>
        <row r="30">
          <cell r="K30">
            <v>0.87916666666666665</v>
          </cell>
        </row>
        <row r="31">
          <cell r="K31">
            <v>0.46805555555555556</v>
          </cell>
        </row>
        <row r="32">
          <cell r="K32">
            <v>0.71180555555555558</v>
          </cell>
        </row>
        <row r="33">
          <cell r="K33">
            <v>0.46666666666666667</v>
          </cell>
        </row>
      </sheetData>
      <sheetData sheetId="6" refreshError="1"/>
      <sheetData sheetId="7">
        <row r="19">
          <cell r="E19" t="str">
            <v xml:space="preserve"> </v>
          </cell>
        </row>
        <row r="22">
          <cell r="K22">
            <v>1.1305555555555555</v>
          </cell>
        </row>
        <row r="23">
          <cell r="K23">
            <v>0.7729166666666667</v>
          </cell>
        </row>
        <row r="24">
          <cell r="K24">
            <v>0.7554563492063493</v>
          </cell>
        </row>
        <row r="25">
          <cell r="K25">
            <v>0.78809523809523818</v>
          </cell>
        </row>
        <row r="26">
          <cell r="K26">
            <v>0.96865079365079376</v>
          </cell>
        </row>
        <row r="27">
          <cell r="K27">
            <v>1.1388888888888891</v>
          </cell>
        </row>
        <row r="28">
          <cell r="K28">
            <v>1.2326388888888891</v>
          </cell>
        </row>
        <row r="29">
          <cell r="K29">
            <v>1.322916666666667</v>
          </cell>
        </row>
        <row r="30">
          <cell r="K30">
            <v>1.4659722222222225</v>
          </cell>
        </row>
        <row r="31">
          <cell r="K31">
            <v>1.3807669082125607</v>
          </cell>
        </row>
        <row r="32">
          <cell r="K32">
            <v>0.97451690821256065</v>
          </cell>
        </row>
        <row r="33">
          <cell r="K33">
            <v>0.8849335748792273</v>
          </cell>
        </row>
      </sheetData>
      <sheetData sheetId="8">
        <row r="2">
          <cell r="F2" t="str">
            <v xml:space="preserve"> </v>
          </cell>
        </row>
        <row r="5">
          <cell r="K5">
            <v>0.94236111111111109</v>
          </cell>
        </row>
        <row r="6">
          <cell r="K6">
            <v>1.179861111111111</v>
          </cell>
        </row>
        <row r="7">
          <cell r="K7">
            <v>1.1381944444444443</v>
          </cell>
        </row>
        <row r="8">
          <cell r="K8">
            <v>0.93902777777777757</v>
          </cell>
        </row>
        <row r="9">
          <cell r="K9">
            <v>1.0765277777777775</v>
          </cell>
        </row>
        <row r="10">
          <cell r="K10">
            <v>0.93530303030303008</v>
          </cell>
        </row>
        <row r="11">
          <cell r="K11">
            <v>1.1443308080808079</v>
          </cell>
        </row>
        <row r="12">
          <cell r="K12">
            <v>1.2943308080808078</v>
          </cell>
        </row>
        <row r="19">
          <cell r="E19" t="str">
            <v xml:space="preserve"> </v>
          </cell>
        </row>
        <row r="22">
          <cell r="K22">
            <v>0.56666666666666665</v>
          </cell>
        </row>
        <row r="23">
          <cell r="K23">
            <v>0.73333333333333339</v>
          </cell>
        </row>
        <row r="24">
          <cell r="K24">
            <v>0.64781746031746035</v>
          </cell>
        </row>
        <row r="25">
          <cell r="K25">
            <v>0.49295634920634923</v>
          </cell>
        </row>
        <row r="26">
          <cell r="K26">
            <v>2.6289682539682557E-2</v>
          </cell>
        </row>
        <row r="27">
          <cell r="K27">
            <v>0.49791666666666662</v>
          </cell>
        </row>
        <row r="28">
          <cell r="K28">
            <v>0.69722222222222219</v>
          </cell>
        </row>
        <row r="29">
          <cell r="K29">
            <v>0.86458333333333326</v>
          </cell>
        </row>
        <row r="30">
          <cell r="K30">
            <v>0.70082070707070687</v>
          </cell>
        </row>
        <row r="31">
          <cell r="K31">
            <v>0.78055555555555556</v>
          </cell>
        </row>
        <row r="32">
          <cell r="K32">
            <v>0.90555555555555556</v>
          </cell>
        </row>
        <row r="33">
          <cell r="K33">
            <v>0.88472222222222219</v>
          </cell>
        </row>
      </sheetData>
      <sheetData sheetId="9">
        <row r="5">
          <cell r="K5">
            <v>0.25</v>
          </cell>
        </row>
        <row r="6">
          <cell r="K6">
            <v>0.25486111111111109</v>
          </cell>
        </row>
        <row r="7">
          <cell r="K7">
            <v>0.20555555555555555</v>
          </cell>
        </row>
        <row r="8">
          <cell r="K8">
            <v>0.2472222222222222</v>
          </cell>
        </row>
        <row r="9">
          <cell r="K9">
            <v>0.23402777777777775</v>
          </cell>
        </row>
        <row r="10">
          <cell r="K10">
            <v>-2.4179292929292967E-2</v>
          </cell>
        </row>
        <row r="11">
          <cell r="K11">
            <v>5.8459595959595906E-2</v>
          </cell>
        </row>
        <row r="12">
          <cell r="K12">
            <v>0.1973484848484848</v>
          </cell>
        </row>
      </sheetData>
      <sheetData sheetId="10">
        <row r="2">
          <cell r="F2" t="str">
            <v xml:space="preserve"> </v>
          </cell>
        </row>
        <row r="5">
          <cell r="K5">
            <v>0.27732487922705329</v>
          </cell>
        </row>
        <row r="6">
          <cell r="K6">
            <v>0.31968599033816442</v>
          </cell>
        </row>
        <row r="7">
          <cell r="K7">
            <v>1.0495471014492757</v>
          </cell>
        </row>
        <row r="8">
          <cell r="K8">
            <v>0.85232487922705347</v>
          </cell>
        </row>
        <row r="9">
          <cell r="K9">
            <v>0.79954710144927565</v>
          </cell>
        </row>
        <row r="10">
          <cell r="K10">
            <v>0.89468599033816454</v>
          </cell>
        </row>
        <row r="11">
          <cell r="K11">
            <v>1.2953804347826088</v>
          </cell>
        </row>
        <row r="12">
          <cell r="K12">
            <v>1.1203804347826087</v>
          </cell>
        </row>
        <row r="19">
          <cell r="E19" t="str">
            <v xml:space="preserve"> </v>
          </cell>
        </row>
        <row r="22">
          <cell r="K22">
            <v>0.54277777777777769</v>
          </cell>
        </row>
        <row r="23">
          <cell r="K23">
            <v>0.3726388888888888</v>
          </cell>
        </row>
        <row r="24">
          <cell r="K24">
            <v>0.76708333333333323</v>
          </cell>
        </row>
        <row r="25">
          <cell r="K25">
            <v>1.1101388888888888</v>
          </cell>
        </row>
        <row r="26">
          <cell r="K26">
            <v>1.1372222222222221</v>
          </cell>
        </row>
        <row r="27">
          <cell r="K27">
            <v>1.1916666666666667</v>
          </cell>
        </row>
        <row r="28">
          <cell r="K28">
            <v>1.2416666666666667</v>
          </cell>
        </row>
        <row r="29">
          <cell r="K29">
            <v>0.82500000000000007</v>
          </cell>
        </row>
        <row r="30">
          <cell r="K30">
            <v>0.72638888888888897</v>
          </cell>
        </row>
        <row r="31">
          <cell r="K31">
            <v>0.4766304347826088</v>
          </cell>
        </row>
        <row r="32">
          <cell r="K32">
            <v>0.37107487922705323</v>
          </cell>
        </row>
        <row r="33">
          <cell r="K33">
            <v>-4.350845410628007E-2</v>
          </cell>
        </row>
      </sheetData>
      <sheetData sheetId="11">
        <row r="2">
          <cell r="F2" t="str">
            <v xml:space="preserve"> </v>
          </cell>
        </row>
        <row r="5">
          <cell r="K5">
            <v>2.92417100062409</v>
          </cell>
        </row>
        <row r="6">
          <cell r="K6">
            <v>2.9991710006240897</v>
          </cell>
        </row>
        <row r="7">
          <cell r="K7">
            <v>3.8811785763816657</v>
          </cell>
        </row>
        <row r="8">
          <cell r="K8">
            <v>3.5562182589213482</v>
          </cell>
        </row>
        <row r="9">
          <cell r="K9">
            <v>3.6214061674180802</v>
          </cell>
        </row>
        <row r="10">
          <cell r="K10">
            <v>3.6867470765089894</v>
          </cell>
        </row>
        <row r="11">
          <cell r="K11">
            <v>3.6589692987312117</v>
          </cell>
        </row>
        <row r="12">
          <cell r="K12">
            <v>2.3256359653978782</v>
          </cell>
        </row>
        <row r="19">
          <cell r="E19" t="str">
            <v xml:space="preserve"> </v>
          </cell>
        </row>
        <row r="22">
          <cell r="K22">
            <v>1.4486111111111108</v>
          </cell>
        </row>
        <row r="23">
          <cell r="K23">
            <v>0.95972222222222192</v>
          </cell>
        </row>
        <row r="24">
          <cell r="K24">
            <v>1.4277777777777774</v>
          </cell>
        </row>
        <row r="25">
          <cell r="K25">
            <v>1.6847222222222218</v>
          </cell>
        </row>
        <row r="26">
          <cell r="K26">
            <v>2.0736111111111106</v>
          </cell>
        </row>
        <row r="27">
          <cell r="K27">
            <v>2.3347222222222226</v>
          </cell>
        </row>
        <row r="28">
          <cell r="K28">
            <v>2.4354166666666668</v>
          </cell>
        </row>
        <row r="29">
          <cell r="K29">
            <v>2.6854166666666668</v>
          </cell>
        </row>
        <row r="30">
          <cell r="K30">
            <v>2.7563131313131315</v>
          </cell>
        </row>
        <row r="31">
          <cell r="K31">
            <v>2.7046826965305231</v>
          </cell>
        </row>
        <row r="32">
          <cell r="K32">
            <v>2.7664882520860785</v>
          </cell>
        </row>
        <row r="33">
          <cell r="K33">
            <v>2.8838932228463121</v>
          </cell>
        </row>
      </sheetData>
      <sheetData sheetId="12">
        <row r="2">
          <cell r="F2" t="str">
            <v xml:space="preserve"> </v>
          </cell>
        </row>
        <row r="5">
          <cell r="K5">
            <v>0.45900824029771398</v>
          </cell>
        </row>
        <row r="6">
          <cell r="K6">
            <v>0.50275824029771399</v>
          </cell>
        </row>
        <row r="7">
          <cell r="K7">
            <v>0.83470268474215836</v>
          </cell>
        </row>
        <row r="8">
          <cell r="K8">
            <v>0.39996458950406311</v>
          </cell>
        </row>
        <row r="9">
          <cell r="K9">
            <v>0.50891556989622</v>
          </cell>
        </row>
        <row r="10">
          <cell r="K10">
            <v>0.31933223656288667</v>
          </cell>
        </row>
        <row r="11">
          <cell r="K11">
            <v>0.41693144291209305</v>
          </cell>
        </row>
        <row r="12">
          <cell r="K12">
            <v>0.3502647762454264</v>
          </cell>
        </row>
        <row r="19">
          <cell r="E19" t="str">
            <v xml:space="preserve"> </v>
          </cell>
        </row>
        <row r="22">
          <cell r="K22">
            <v>0.42152777777777778</v>
          </cell>
        </row>
        <row r="23">
          <cell r="K23">
            <v>0.40138888888888891</v>
          </cell>
        </row>
        <row r="24">
          <cell r="K24">
            <v>1.1805555555555625E-2</v>
          </cell>
        </row>
        <row r="25">
          <cell r="K25">
            <v>0.50069444444444455</v>
          </cell>
        </row>
        <row r="26">
          <cell r="K26">
            <v>5.8333333333333459E-2</v>
          </cell>
        </row>
        <row r="27">
          <cell r="K27">
            <v>0.21527777777777779</v>
          </cell>
        </row>
        <row r="28">
          <cell r="K28">
            <v>0.37986111111111109</v>
          </cell>
        </row>
        <row r="29">
          <cell r="K29">
            <v>0.54236111111111107</v>
          </cell>
        </row>
        <row r="30">
          <cell r="K30">
            <v>0.38604040404040402</v>
          </cell>
        </row>
        <row r="31">
          <cell r="K31">
            <v>0.2336792929292929</v>
          </cell>
        </row>
        <row r="32">
          <cell r="K32">
            <v>0.38256818181818181</v>
          </cell>
        </row>
        <row r="33">
          <cell r="K33">
            <v>0.33817490696438063</v>
          </cell>
        </row>
      </sheetData>
      <sheetData sheetId="13">
        <row r="2">
          <cell r="F2" t="str">
            <v xml:space="preserve"> </v>
          </cell>
        </row>
        <row r="5">
          <cell r="K5">
            <v>0.16571660685805426</v>
          </cell>
        </row>
        <row r="6">
          <cell r="K6">
            <v>0.12682771796916537</v>
          </cell>
        </row>
        <row r="7">
          <cell r="K7">
            <v>0.23885549574694315</v>
          </cell>
        </row>
        <row r="8">
          <cell r="K8">
            <v>-5.9120694729247303E-2</v>
          </cell>
        </row>
        <row r="9">
          <cell r="K9">
            <v>-0.14800794963120809</v>
          </cell>
        </row>
        <row r="10">
          <cell r="K10">
            <v>-0.56475037387363236</v>
          </cell>
        </row>
        <row r="11">
          <cell r="K11">
            <v>-0.4571710087942672</v>
          </cell>
        </row>
        <row r="12">
          <cell r="K12">
            <v>-0.4571710087942672</v>
          </cell>
        </row>
        <row r="19">
          <cell r="E19" t="str">
            <v xml:space="preserve"> </v>
          </cell>
        </row>
        <row r="22">
          <cell r="K22">
            <v>0.17569444444444446</v>
          </cell>
        </row>
        <row r="23">
          <cell r="K23">
            <v>2.8472222222222232E-2</v>
          </cell>
        </row>
        <row r="24">
          <cell r="K24">
            <v>0.11656746031746033</v>
          </cell>
        </row>
        <row r="25">
          <cell r="K25">
            <v>0.13531746031746034</v>
          </cell>
        </row>
        <row r="26">
          <cell r="K26">
            <v>0.19087301587301592</v>
          </cell>
        </row>
        <row r="27">
          <cell r="K27">
            <v>0.26628472222222227</v>
          </cell>
        </row>
        <row r="28">
          <cell r="K28">
            <v>0.17825441919191926</v>
          </cell>
        </row>
        <row r="29">
          <cell r="K29">
            <v>0.24643497474747483</v>
          </cell>
        </row>
        <row r="30">
          <cell r="K30">
            <v>0.25825315656565662</v>
          </cell>
        </row>
        <row r="31">
          <cell r="K31">
            <v>0.29714204545454548</v>
          </cell>
        </row>
        <row r="32">
          <cell r="K32">
            <v>0.36214204545454548</v>
          </cell>
        </row>
        <row r="33">
          <cell r="K33">
            <v>0.10460549574694314</v>
          </cell>
        </row>
      </sheetData>
      <sheetData sheetId="14">
        <row r="2">
          <cell r="F2" t="str">
            <v xml:space="preserve"> </v>
          </cell>
        </row>
        <row r="5">
          <cell r="K5">
            <v>1.7435227272727272</v>
          </cell>
        </row>
        <row r="6">
          <cell r="K6">
            <v>1.8185227272727271</v>
          </cell>
        </row>
        <row r="7">
          <cell r="K7">
            <v>1.8101893939393938</v>
          </cell>
        </row>
        <row r="8">
          <cell r="K8">
            <v>1.9601893939393937</v>
          </cell>
        </row>
        <row r="9">
          <cell r="K9">
            <v>1.9427302436125962</v>
          </cell>
        </row>
        <row r="10">
          <cell r="K10">
            <v>2.1204575163398687</v>
          </cell>
        </row>
        <row r="11">
          <cell r="K11">
            <v>1.6128186274509797</v>
          </cell>
        </row>
        <row r="12">
          <cell r="K12">
            <v>1.2353900560224083</v>
          </cell>
        </row>
        <row r="19">
          <cell r="E19" t="str">
            <v xml:space="preserve"> </v>
          </cell>
        </row>
        <row r="22">
          <cell r="K22">
            <v>1.3354166666666667</v>
          </cell>
        </row>
        <row r="23">
          <cell r="K23">
            <v>1.2902777777777779</v>
          </cell>
        </row>
        <row r="24">
          <cell r="K24">
            <v>1.3527777777777779</v>
          </cell>
        </row>
        <row r="25">
          <cell r="K25">
            <v>1.5555555555555556</v>
          </cell>
        </row>
        <row r="26">
          <cell r="K26">
            <v>1.6381944444444443</v>
          </cell>
        </row>
        <row r="27">
          <cell r="K27">
            <v>1.5583333333333333</v>
          </cell>
        </row>
        <row r="28">
          <cell r="K28">
            <v>1.5010227272727272</v>
          </cell>
        </row>
        <row r="29">
          <cell r="K29">
            <v>1.4633282828282828</v>
          </cell>
        </row>
        <row r="30">
          <cell r="K30">
            <v>1.5244393939393939</v>
          </cell>
        </row>
        <row r="31">
          <cell r="K31">
            <v>1.2536060606060604</v>
          </cell>
        </row>
        <row r="32">
          <cell r="K32">
            <v>1.3702727272727271</v>
          </cell>
        </row>
        <row r="33">
          <cell r="K33">
            <v>1.5560227272727272</v>
          </cell>
        </row>
      </sheetData>
      <sheetData sheetId="15">
        <row r="2">
          <cell r="F2" t="str">
            <v xml:space="preserve"> </v>
          </cell>
        </row>
        <row r="5">
          <cell r="K5">
            <v>0.45000000000000007</v>
          </cell>
        </row>
        <row r="6">
          <cell r="K6">
            <v>0.2680555555555556</v>
          </cell>
        </row>
        <row r="7">
          <cell r="K7">
            <v>0.30972222222222223</v>
          </cell>
        </row>
        <row r="8">
          <cell r="K8">
            <v>0.24305555555555558</v>
          </cell>
        </row>
        <row r="9">
          <cell r="K9">
            <v>0.28472222222222221</v>
          </cell>
        </row>
        <row r="10">
          <cell r="K10">
            <v>0.36805555555555558</v>
          </cell>
        </row>
        <row r="11">
          <cell r="K11">
            <v>0.33640873015873018</v>
          </cell>
        </row>
        <row r="12">
          <cell r="K12">
            <v>0.3575396825396826</v>
          </cell>
        </row>
        <row r="19">
          <cell r="E19">
            <v>0</v>
          </cell>
        </row>
        <row r="30">
          <cell r="K30">
            <v>0.53749999999999998</v>
          </cell>
        </row>
        <row r="31">
          <cell r="K31">
            <v>0.53888888888888886</v>
          </cell>
        </row>
        <row r="32">
          <cell r="K32">
            <v>0.57847222222222228</v>
          </cell>
        </row>
        <row r="33">
          <cell r="K33">
            <v>0.27013888888888893</v>
          </cell>
        </row>
      </sheetData>
      <sheetData sheetId="16">
        <row r="2">
          <cell r="F2" t="str">
            <v xml:space="preserve"> </v>
          </cell>
        </row>
        <row r="5">
          <cell r="K5">
            <v>0.54502952869657695</v>
          </cell>
        </row>
        <row r="6">
          <cell r="K6">
            <v>0.37766841758546582</v>
          </cell>
        </row>
        <row r="7">
          <cell r="K7">
            <v>1.2318350842521326</v>
          </cell>
        </row>
        <row r="8">
          <cell r="K8">
            <v>1.2690374652045135</v>
          </cell>
        </row>
        <row r="9">
          <cell r="K9">
            <v>1.362093020760069</v>
          </cell>
        </row>
        <row r="10">
          <cell r="K10">
            <v>1.2565374652045134</v>
          </cell>
        </row>
        <row r="11">
          <cell r="K11">
            <v>1.4433430207600688</v>
          </cell>
        </row>
        <row r="12">
          <cell r="K12">
            <v>0.8375890525061005</v>
          </cell>
        </row>
        <row r="19">
          <cell r="E19" t="str">
            <v xml:space="preserve"> </v>
          </cell>
        </row>
        <row r="22">
          <cell r="K22">
            <v>0.32430555555555551</v>
          </cell>
        </row>
        <row r="23">
          <cell r="K23">
            <v>0.10069444444444436</v>
          </cell>
        </row>
        <row r="24">
          <cell r="K24">
            <v>0.72777777777777775</v>
          </cell>
        </row>
        <row r="25">
          <cell r="K25">
            <v>0.21299603174603168</v>
          </cell>
        </row>
        <row r="26">
          <cell r="K26">
            <v>-4.1170634920634969E-2</v>
          </cell>
        </row>
        <row r="27">
          <cell r="K27">
            <v>5.9722222222222232E-2</v>
          </cell>
        </row>
        <row r="28">
          <cell r="K28">
            <v>0.30972222222222223</v>
          </cell>
        </row>
        <row r="29">
          <cell r="K29">
            <v>0.53888888888888897</v>
          </cell>
        </row>
        <row r="30">
          <cell r="K30">
            <v>0.55574494949494957</v>
          </cell>
        </row>
        <row r="31">
          <cell r="K31">
            <v>0.60716403162055343</v>
          </cell>
        </row>
        <row r="32">
          <cell r="K32">
            <v>0.40438625384277571</v>
          </cell>
        </row>
        <row r="33">
          <cell r="K33">
            <v>0.34502952869657688</v>
          </cell>
        </row>
      </sheetData>
      <sheetData sheetId="17">
        <row r="2">
          <cell r="F2" t="str">
            <v xml:space="preserve"> </v>
          </cell>
        </row>
        <row r="5">
          <cell r="K5">
            <v>0.31578282828282833</v>
          </cell>
        </row>
        <row r="6">
          <cell r="K6">
            <v>0.28244949494949501</v>
          </cell>
        </row>
        <row r="7">
          <cell r="K7">
            <v>0.67342171717171728</v>
          </cell>
        </row>
        <row r="8">
          <cell r="K8">
            <v>0.43592171717171729</v>
          </cell>
        </row>
        <row r="9">
          <cell r="K9">
            <v>0.43592171717171729</v>
          </cell>
        </row>
        <row r="10">
          <cell r="K10">
            <v>0.41508838383838398</v>
          </cell>
        </row>
        <row r="11">
          <cell r="K11">
            <v>0.35883838383838396</v>
          </cell>
        </row>
        <row r="12">
          <cell r="K12">
            <v>0.42619949494949505</v>
          </cell>
        </row>
        <row r="19">
          <cell r="E19" t="str">
            <v xml:space="preserve"> </v>
          </cell>
        </row>
        <row r="22">
          <cell r="K22">
            <v>8.333333333333337E-2</v>
          </cell>
        </row>
        <row r="23">
          <cell r="K23">
            <v>7.6388888888888923E-2</v>
          </cell>
        </row>
        <row r="24">
          <cell r="K24">
            <v>7.6388888888888923E-2</v>
          </cell>
        </row>
        <row r="25">
          <cell r="K25">
            <v>0.34375000000000011</v>
          </cell>
        </row>
        <row r="26">
          <cell r="K26">
            <v>0.15486111111111123</v>
          </cell>
        </row>
        <row r="27">
          <cell r="K27">
            <v>0.43472222222222223</v>
          </cell>
        </row>
        <row r="28">
          <cell r="K28">
            <v>0.60138888888888897</v>
          </cell>
        </row>
        <row r="29">
          <cell r="K29">
            <v>0.51597222222222228</v>
          </cell>
        </row>
        <row r="30">
          <cell r="K30">
            <v>0.32689393939393946</v>
          </cell>
        </row>
        <row r="31">
          <cell r="K31">
            <v>0.25328282828282833</v>
          </cell>
        </row>
        <row r="32">
          <cell r="K32">
            <v>0.28106060606060612</v>
          </cell>
        </row>
        <row r="33">
          <cell r="K33">
            <v>0.28106060606060612</v>
          </cell>
        </row>
      </sheetData>
      <sheetData sheetId="18" refreshError="1"/>
      <sheetData sheetId="19">
        <row r="2">
          <cell r="F2" t="str">
            <v xml:space="preserve"> </v>
          </cell>
        </row>
        <row r="5">
          <cell r="K5">
            <v>1.5277777777778029E-2</v>
          </cell>
        </row>
        <row r="6">
          <cell r="K6">
            <v>0.12361111111111137</v>
          </cell>
        </row>
        <row r="7">
          <cell r="K7">
            <v>0.19469696969696995</v>
          </cell>
        </row>
        <row r="8">
          <cell r="K8">
            <v>0.29678030303030328</v>
          </cell>
        </row>
        <row r="9">
          <cell r="K9">
            <v>0.42178030303030328</v>
          </cell>
        </row>
        <row r="10">
          <cell r="K10">
            <v>0.49747474747474774</v>
          </cell>
        </row>
        <row r="11">
          <cell r="K11">
            <v>0.52525252525252553</v>
          </cell>
        </row>
        <row r="12">
          <cell r="K12">
            <v>0.64955808080808108</v>
          </cell>
        </row>
        <row r="19">
          <cell r="E19" t="str">
            <v xml:space="preserve"> </v>
          </cell>
        </row>
        <row r="22">
          <cell r="K22">
            <v>0.23541666666666669</v>
          </cell>
        </row>
        <row r="23">
          <cell r="K23">
            <v>0.23541666666666669</v>
          </cell>
        </row>
        <row r="24">
          <cell r="K24">
            <v>0.23541666666666669</v>
          </cell>
        </row>
        <row r="25">
          <cell r="K25">
            <v>0.22083333333333335</v>
          </cell>
        </row>
        <row r="26">
          <cell r="K26">
            <v>0.46319444444444446</v>
          </cell>
        </row>
        <row r="27">
          <cell r="K27">
            <v>0.41388888888888897</v>
          </cell>
        </row>
        <row r="28">
          <cell r="K28">
            <v>0.53402777777777788</v>
          </cell>
        </row>
        <row r="29">
          <cell r="K29">
            <v>0.65416666666666679</v>
          </cell>
        </row>
        <row r="30">
          <cell r="K30">
            <v>0.77916666666666679</v>
          </cell>
        </row>
        <row r="31">
          <cell r="K31">
            <v>0.90416666666666679</v>
          </cell>
        </row>
        <row r="32">
          <cell r="K32">
            <v>1.0222222222222224</v>
          </cell>
        </row>
        <row r="33">
          <cell r="K33">
            <v>2.4305555555555802E-2</v>
          </cell>
        </row>
      </sheetData>
      <sheetData sheetId="20">
        <row r="2">
          <cell r="F2" t="str">
            <v xml:space="preserve"> </v>
          </cell>
        </row>
        <row r="5">
          <cell r="K5">
            <v>0.65694444444444478</v>
          </cell>
        </row>
        <row r="6">
          <cell r="K6">
            <v>0.68750000000000033</v>
          </cell>
        </row>
        <row r="7">
          <cell r="K7">
            <v>1.6868055555555559</v>
          </cell>
        </row>
        <row r="8">
          <cell r="K8">
            <v>2.0965277777777782</v>
          </cell>
        </row>
        <row r="9">
          <cell r="K9">
            <v>1.7548611111111114</v>
          </cell>
        </row>
        <row r="10">
          <cell r="K10">
            <v>1.8895833333333336</v>
          </cell>
        </row>
        <row r="11">
          <cell r="K11">
            <v>2.0402777777777779</v>
          </cell>
        </row>
        <row r="12">
          <cell r="K12">
            <v>2.8045634920634921</v>
          </cell>
        </row>
        <row r="19">
          <cell r="E19" t="str">
            <v xml:space="preserve"> </v>
          </cell>
        </row>
        <row r="22">
          <cell r="K22">
            <v>0.85138888888888886</v>
          </cell>
        </row>
        <row r="23">
          <cell r="K23">
            <v>0.70416666666666661</v>
          </cell>
        </row>
        <row r="24">
          <cell r="K24">
            <v>0.59583333333333321</v>
          </cell>
        </row>
        <row r="25">
          <cell r="K25">
            <v>0.59583333333333321</v>
          </cell>
        </row>
        <row r="26">
          <cell r="K26">
            <v>0.39722222222222209</v>
          </cell>
        </row>
        <row r="27">
          <cell r="K27">
            <v>0.81388888888888888</v>
          </cell>
        </row>
        <row r="28">
          <cell r="K28">
            <v>1.151388888888889</v>
          </cell>
        </row>
        <row r="29">
          <cell r="K29">
            <v>1.615277777777778</v>
          </cell>
        </row>
        <row r="30">
          <cell r="K30">
            <v>1.3826388888888892</v>
          </cell>
        </row>
        <row r="31">
          <cell r="K31">
            <v>0.75902777777777808</v>
          </cell>
        </row>
        <row r="32">
          <cell r="K32">
            <v>0.94513888888888919</v>
          </cell>
        </row>
        <row r="33">
          <cell r="K33">
            <v>0.72569444444444475</v>
          </cell>
        </row>
      </sheetData>
      <sheetData sheetId="21">
        <row r="2">
          <cell r="F2" t="str">
            <v xml:space="preserve"> </v>
          </cell>
        </row>
        <row r="5">
          <cell r="K5">
            <v>2.0516388888888888</v>
          </cell>
        </row>
        <row r="6">
          <cell r="K6">
            <v>1.955111111111111</v>
          </cell>
        </row>
        <row r="7">
          <cell r="K7">
            <v>2.7551111111111113</v>
          </cell>
        </row>
        <row r="8">
          <cell r="K8">
            <v>2.5606666666666671</v>
          </cell>
        </row>
        <row r="9">
          <cell r="K9">
            <v>2.7606666666666673</v>
          </cell>
        </row>
        <row r="10">
          <cell r="K10">
            <v>2.283583333333334</v>
          </cell>
        </row>
        <row r="11">
          <cell r="K11">
            <v>1.8676111111111118</v>
          </cell>
        </row>
        <row r="12">
          <cell r="K12">
            <v>1.8810238095238101</v>
          </cell>
        </row>
        <row r="19">
          <cell r="E19" t="str">
            <v xml:space="preserve"> </v>
          </cell>
        </row>
        <row r="22">
          <cell r="K22">
            <v>0.89097222222222217</v>
          </cell>
        </row>
        <row r="23">
          <cell r="K23">
            <v>0.77986111111111101</v>
          </cell>
        </row>
        <row r="24">
          <cell r="K24">
            <v>1.5576388888888886</v>
          </cell>
        </row>
        <row r="25">
          <cell r="K25">
            <v>2.3895833333333329</v>
          </cell>
        </row>
        <row r="26">
          <cell r="K26">
            <v>2.2743055555555554</v>
          </cell>
        </row>
        <row r="27">
          <cell r="K27">
            <v>2.4763888888888888</v>
          </cell>
        </row>
        <row r="28">
          <cell r="K28">
            <v>2.3355277777777776</v>
          </cell>
        </row>
        <row r="29">
          <cell r="K29">
            <v>2.6126111111111108</v>
          </cell>
        </row>
        <row r="30">
          <cell r="K30">
            <v>2.7313611111111111</v>
          </cell>
        </row>
        <row r="31">
          <cell r="K31">
            <v>2.2424722222222222</v>
          </cell>
        </row>
        <row r="32">
          <cell r="K32">
            <v>2.0544166666666666</v>
          </cell>
        </row>
        <row r="33">
          <cell r="K33">
            <v>1.9002499999999998</v>
          </cell>
        </row>
      </sheetData>
      <sheetData sheetId="22">
        <row r="2">
          <cell r="F2" t="str">
            <v xml:space="preserve"> </v>
          </cell>
        </row>
        <row r="5">
          <cell r="K5">
            <v>0.52355545154057737</v>
          </cell>
        </row>
        <row r="6">
          <cell r="K6">
            <v>0.40549989598502179</v>
          </cell>
        </row>
        <row r="7">
          <cell r="K7">
            <v>0.59163625962138544</v>
          </cell>
        </row>
        <row r="8">
          <cell r="K8">
            <v>0.44086245009757596</v>
          </cell>
        </row>
        <row r="9">
          <cell r="K9">
            <v>0.28481669846358904</v>
          </cell>
        </row>
        <row r="10">
          <cell r="K10">
            <v>0.35779649644338701</v>
          </cell>
        </row>
        <row r="11">
          <cell r="K11">
            <v>0.40868935358624414</v>
          </cell>
        </row>
        <row r="12">
          <cell r="K12">
            <v>1.201844115491006</v>
          </cell>
        </row>
        <row r="19">
          <cell r="E19" t="str">
            <v xml:space="preserve"> </v>
          </cell>
        </row>
        <row r="22">
          <cell r="K22">
            <v>0.1715277777777777</v>
          </cell>
        </row>
        <row r="23">
          <cell r="K23">
            <v>0.29652777777777772</v>
          </cell>
        </row>
        <row r="24">
          <cell r="K24">
            <v>0.25208333333333327</v>
          </cell>
        </row>
        <row r="25">
          <cell r="K25">
            <v>0.31041666666666662</v>
          </cell>
        </row>
        <row r="26">
          <cell r="K26">
            <v>0.22291666666666662</v>
          </cell>
        </row>
        <row r="27">
          <cell r="K27">
            <v>0.80486111111111114</v>
          </cell>
        </row>
        <row r="28">
          <cell r="K28">
            <v>1.5633055555555555</v>
          </cell>
        </row>
        <row r="29">
          <cell r="K29">
            <v>1.3348333333333333</v>
          </cell>
        </row>
        <row r="30">
          <cell r="K30">
            <v>1.3946818181818181</v>
          </cell>
        </row>
        <row r="31">
          <cell r="K31">
            <v>1.2726709486166008</v>
          </cell>
        </row>
        <row r="32">
          <cell r="K32">
            <v>1.0622542819499341</v>
          </cell>
        </row>
        <row r="33">
          <cell r="K33">
            <v>0.52286100709613292</v>
          </cell>
        </row>
      </sheetData>
      <sheetData sheetId="23">
        <row r="2">
          <cell r="F2" t="str">
            <v xml:space="preserve"> </v>
          </cell>
        </row>
        <row r="5">
          <cell r="K5">
            <v>0.35624999999999996</v>
          </cell>
        </row>
        <row r="6">
          <cell r="K6">
            <v>0.37222222222222218</v>
          </cell>
        </row>
        <row r="7">
          <cell r="K7">
            <v>0.31755050505050497</v>
          </cell>
        </row>
        <row r="8">
          <cell r="K8">
            <v>0.2203679653679653</v>
          </cell>
        </row>
        <row r="9">
          <cell r="K9">
            <v>0.2203679653679653</v>
          </cell>
        </row>
        <row r="10">
          <cell r="K10">
            <v>0.2203679653679653</v>
          </cell>
        </row>
        <row r="11">
          <cell r="K11">
            <v>0.2203679653679653</v>
          </cell>
        </row>
        <row r="12">
          <cell r="K12">
            <v>0.18247113997113992</v>
          </cell>
        </row>
        <row r="19">
          <cell r="E19">
            <v>0</v>
          </cell>
        </row>
        <row r="32">
          <cell r="K32">
            <v>0.23819444444444443</v>
          </cell>
        </row>
        <row r="33">
          <cell r="K33">
            <v>0.19722222222222219</v>
          </cell>
        </row>
      </sheetData>
      <sheetData sheetId="24" refreshError="1"/>
      <sheetData sheetId="25">
        <row r="2">
          <cell r="F2" t="str">
            <v xml:space="preserve"> </v>
          </cell>
        </row>
        <row r="5">
          <cell r="K5">
            <v>3.4743055555555555</v>
          </cell>
        </row>
        <row r="6">
          <cell r="K6">
            <v>1.8340277777777778</v>
          </cell>
        </row>
        <row r="7">
          <cell r="K7">
            <v>1.7347222222222223</v>
          </cell>
        </row>
        <row r="8">
          <cell r="K8">
            <v>2.0229166666666667</v>
          </cell>
        </row>
        <row r="9">
          <cell r="K9">
            <v>2.1479166666666667</v>
          </cell>
        </row>
        <row r="10">
          <cell r="K10">
            <v>2.3562500000000002</v>
          </cell>
        </row>
        <row r="11">
          <cell r="K11">
            <v>1.6562500000000002</v>
          </cell>
        </row>
        <row r="12">
          <cell r="K12">
            <v>1.7986111111111114</v>
          </cell>
        </row>
        <row r="19">
          <cell r="E19" t="str">
            <v xml:space="preserve"> </v>
          </cell>
        </row>
        <row r="22">
          <cell r="K22">
            <v>3.3777777777777782</v>
          </cell>
        </row>
        <row r="23">
          <cell r="K23">
            <v>3.6277777777777782</v>
          </cell>
        </row>
        <row r="24">
          <cell r="K24">
            <v>2.1992063492063494</v>
          </cell>
        </row>
        <row r="25">
          <cell r="K25">
            <v>2.3957341269841272</v>
          </cell>
        </row>
        <row r="26">
          <cell r="K26">
            <v>2.4978174603174605</v>
          </cell>
        </row>
        <row r="27">
          <cell r="K27">
            <v>2.9069444444444446</v>
          </cell>
        </row>
        <row r="28">
          <cell r="K28">
            <v>2.0951388888888891</v>
          </cell>
        </row>
        <row r="29">
          <cell r="K29">
            <v>2.3451388888888891</v>
          </cell>
        </row>
        <row r="30">
          <cell r="K30">
            <v>2.5590277777777781</v>
          </cell>
        </row>
        <row r="31">
          <cell r="K31">
            <v>2.8090277777777781</v>
          </cell>
        </row>
        <row r="32">
          <cell r="K32">
            <v>3.0208333333333335</v>
          </cell>
        </row>
        <row r="33">
          <cell r="K33">
            <v>3.2708333333333335</v>
          </cell>
        </row>
      </sheetData>
      <sheetData sheetId="26">
        <row r="2">
          <cell r="F2" t="str">
            <v xml:space="preserve"> </v>
          </cell>
        </row>
        <row r="5">
          <cell r="K5">
            <v>0.39374999999999993</v>
          </cell>
        </row>
        <row r="6">
          <cell r="K6">
            <v>0.5659722222222221</v>
          </cell>
        </row>
        <row r="7">
          <cell r="K7">
            <v>0.43446969696969684</v>
          </cell>
        </row>
        <row r="8">
          <cell r="K8">
            <v>0.14141414141414133</v>
          </cell>
        </row>
        <row r="9">
          <cell r="K9">
            <v>-0.10511363636363646</v>
          </cell>
        </row>
        <row r="10">
          <cell r="K10">
            <v>-0.1599747474747476</v>
          </cell>
        </row>
        <row r="11">
          <cell r="K11">
            <v>-0.16414141414141425</v>
          </cell>
        </row>
        <row r="12">
          <cell r="K12">
            <v>-0.26681998556998565</v>
          </cell>
        </row>
        <row r="19">
          <cell r="E19">
            <v>0</v>
          </cell>
        </row>
        <row r="30">
          <cell r="K30">
            <v>0.25</v>
          </cell>
        </row>
        <row r="31">
          <cell r="K31">
            <v>0.25347222222222221</v>
          </cell>
        </row>
        <row r="32">
          <cell r="K32">
            <v>0.35069444444444442</v>
          </cell>
        </row>
        <row r="33">
          <cell r="K33">
            <v>0.35486111111111107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F0F7A8-5DF8-4F28-BA32-D1E0A725B282}" name="Tableau13" displayName="Tableau13" ref="A1:N24" totalsRowShown="0">
  <autoFilter ref="A1:N24" xr:uid="{C7300799-99B8-4EB6-AE56-6C90EDB091F8}"/>
  <sortState xmlns:xlrd2="http://schemas.microsoft.com/office/spreadsheetml/2017/richdata2" ref="A2:N24">
    <sortCondition ref="A1:A24"/>
  </sortState>
  <tableColumns count="14">
    <tableColumn id="1" xr3:uid="{754EF1F6-D6CE-4B61-B059-689C5D9CEF25}" name="Agent"/>
    <tableColumn id="2" xr3:uid="{2FD1CE32-ECE7-4893-8BC2-4006C2FCF160}" name="Solde 31/08" dataDxfId="13"/>
    <tableColumn id="7" xr3:uid="{2E7CEC48-66C0-4270-8819-C5AEB96FCCE1}" name="Janvier" dataDxfId="12">
      <calculatedColumnFormula>[1]ANCART!$K$5</calculatedColumnFormula>
    </tableColumn>
    <tableColumn id="8" xr3:uid="{0C9F15EC-B037-4437-BD2B-E7CF27699C3A}" name="Février" dataDxfId="11"/>
    <tableColumn id="5" xr3:uid="{3C217D23-BDAC-4CD8-940B-C4CA82ECA661}" name="Mars" dataDxfId="10"/>
    <tableColumn id="6" xr3:uid="{7B9C3F84-98FA-457E-AA2C-37B43CA891DE}" name="Avril" dataDxfId="9"/>
    <tableColumn id="4" xr3:uid="{E9BBC20F-6E7D-483A-A2C4-C1ACB46104CD}" name="Mai" dataDxfId="8"/>
    <tableColumn id="3" xr3:uid="{24F62277-DAE6-4829-B809-3E2D477715E4}" name="Juin" dataDxfId="7"/>
    <tableColumn id="9" xr3:uid="{0670983D-E820-43B1-A435-DE806CC60452}" name="Juillet" dataDxfId="6"/>
    <tableColumn id="10" xr3:uid="{0CDE416F-EB10-46CE-846C-6E62D241F509}" name="Août" dataDxfId="5"/>
    <tableColumn id="11" xr3:uid="{CEF508F5-A8A9-4275-A501-618AF335963E}" name="Septembre" dataDxfId="4"/>
    <tableColumn id="12" xr3:uid="{5A242AD9-4A28-46D7-9DC6-012058F6C4AC}" name="Octobre" dataDxfId="3"/>
    <tableColumn id="13" xr3:uid="{039DCC9B-124D-4CDE-8FC1-EABB8CB091DC}" name="Novembre" dataDxfId="2"/>
    <tableColumn id="14" xr3:uid="{406CB3AB-04B7-47C3-A699-F13C6891C693}" name="Décembr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300799-99B8-4EB6-AE56-6C90EDB091F8}" name="Tableau1" displayName="Tableau1" ref="A1:N23" totalsRowShown="0">
  <autoFilter ref="A1:N23" xr:uid="{C7300799-99B8-4EB6-AE56-6C90EDB091F8}"/>
  <sortState xmlns:xlrd2="http://schemas.microsoft.com/office/spreadsheetml/2017/richdata2" ref="A2:N23">
    <sortCondition ref="A1:A23"/>
  </sortState>
  <tableColumns count="14">
    <tableColumn id="1" xr3:uid="{404799F8-EF23-44D1-82C6-A022BF0100EC}" name="Agent"/>
    <tableColumn id="2" xr3:uid="{CA1AE1FC-3B06-4FE4-B14C-2062768FF719}" name="Solde 31/08" dataDxfId="25"/>
    <tableColumn id="7" xr3:uid="{E374D505-F3A4-4A54-B661-7A811C5C6CF0}" name="Janvier" dataDxfId="24">
      <calculatedColumnFormula>[1]ANCART!$K$5</calculatedColumnFormula>
    </tableColumn>
    <tableColumn id="8" xr3:uid="{9D8E114C-EE46-411F-8DB7-F007D2820209}" name="Février" dataDxfId="23"/>
    <tableColumn id="5" xr3:uid="{944F841B-7157-43A7-BBF4-EE37DB90304B}" name="Mars" dataDxfId="22"/>
    <tableColumn id="6" xr3:uid="{D6979E67-6E41-4D87-8E2F-C77EC9B86F1C}" name="Avril" dataDxfId="21"/>
    <tableColumn id="4" xr3:uid="{73890115-5FC3-4C52-9738-5535D8C89AA6}" name="Mai" dataDxfId="20"/>
    <tableColumn id="3" xr3:uid="{C3AD0FE6-38FB-4AF2-A2FC-CD8C6AF1D34A}" name="Juin" dataDxfId="19"/>
    <tableColumn id="9" xr3:uid="{2CF88554-1C99-48F6-A58C-B366489DC66A}" name="Juillet" dataDxfId="18"/>
    <tableColumn id="10" xr3:uid="{92839190-8610-4DAD-9F46-735A99F92CBC}" name="Août" dataDxfId="0"/>
    <tableColumn id="11" xr3:uid="{29BF599E-3D07-4D08-9AF4-0E200B9474AF}" name="Septembre" dataDxfId="17"/>
    <tableColumn id="12" xr3:uid="{69B209A5-8270-436F-A131-3A88CE5DD18E}" name="Octobre" dataDxfId="16"/>
    <tableColumn id="13" xr3:uid="{5495805F-AD9C-4F16-87DB-C13BD64B4392}" name="Novembre" dataDxfId="15"/>
    <tableColumn id="14" xr3:uid="{4BC933CC-966E-4C7C-A940-6828309FC481}" name="Décembre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9281-9BE8-4862-911C-4DD8AD138DB8}">
  <dimension ref="A1:N24"/>
  <sheetViews>
    <sheetView zoomScale="130" zoomScaleNormal="130" workbookViewId="0">
      <selection activeCell="Q8" sqref="Q8"/>
    </sheetView>
  </sheetViews>
  <sheetFormatPr baseColWidth="10" defaultColWidth="9.140625" defaultRowHeight="15" x14ac:dyDescent="0.25"/>
  <cols>
    <col min="1" max="1" width="23.140625" bestFit="1" customWidth="1"/>
    <col min="2" max="2" width="13.5703125" bestFit="1" customWidth="1"/>
    <col min="3" max="4" width="9.5703125" bestFit="1" customWidth="1"/>
    <col min="5" max="5" width="7.7109375" bestFit="1" customWidth="1"/>
    <col min="6" max="6" width="7.42578125" bestFit="1" customWidth="1"/>
    <col min="7" max="7" width="6.7109375" bestFit="1" customWidth="1"/>
    <col min="8" max="8" width="6.85546875" bestFit="1" customWidth="1"/>
    <col min="9" max="9" width="8.7109375" bestFit="1" customWidth="1"/>
    <col min="10" max="10" width="7.5703125" bestFit="1" customWidth="1"/>
    <col min="11" max="11" width="13.140625" bestFit="1" customWidth="1"/>
    <col min="12" max="12" width="10.42578125" bestFit="1" customWidth="1"/>
    <col min="13" max="13" width="12.7109375" bestFit="1" customWidth="1"/>
    <col min="14" max="14" width="12.42578125" bestFit="1" customWidth="1"/>
  </cols>
  <sheetData>
    <row r="1" spans="1:14" x14ac:dyDescent="0.25">
      <c r="A1" t="s">
        <v>0</v>
      </c>
      <c r="B1" t="s">
        <v>34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13</v>
      </c>
      <c r="B2" s="1" t="str">
        <f>[1]BECKER!$E$19</f>
        <v xml:space="preserve"> </v>
      </c>
      <c r="C2" s="1">
        <f>[1]BECKER!$K$22</f>
        <v>2.3972222222222221</v>
      </c>
      <c r="D2" s="1">
        <f>[1]BECKER!$K$23</f>
        <v>2.3222222222222224</v>
      </c>
      <c r="E2" s="1">
        <f>[1]BECKER!$K$24</f>
        <v>2.9736111111111114</v>
      </c>
      <c r="F2" s="1">
        <f>[1]BECKER!$K$25</f>
        <v>2.6104166666666671</v>
      </c>
      <c r="G2" s="1">
        <f>[1]BECKER!$K$26</f>
        <v>2.4604166666666671</v>
      </c>
      <c r="H2" s="1">
        <f>[1]BECKER!$K$27</f>
        <v>2.1034722222222224</v>
      </c>
      <c r="I2" s="1">
        <f>[1]BECKER!$K$28</f>
        <v>2.2236111111111114</v>
      </c>
      <c r="J2" s="1">
        <f>[1]BECKER!$K$29</f>
        <v>1.5888888888888892</v>
      </c>
      <c r="K2" s="1">
        <f>[1]BECKER!$K$30</f>
        <v>1.5826388888888894</v>
      </c>
      <c r="L2" s="1">
        <f>[1]BECKER!$K$31</f>
        <v>1.5326388888888893</v>
      </c>
      <c r="M2" s="1">
        <f>[1]BECKER!$K$32</f>
        <v>1.8326388888888894</v>
      </c>
      <c r="N2" s="1">
        <f>[1]BECKER!$K$33</f>
        <v>1.6715277777777784</v>
      </c>
    </row>
    <row r="3" spans="1:14" x14ac:dyDescent="0.25">
      <c r="A3" t="s">
        <v>14</v>
      </c>
      <c r="B3" s="1" t="str">
        <f>[1]BOUSSIFET!$E$19</f>
        <v xml:space="preserve"> </v>
      </c>
      <c r="C3" s="1">
        <f>[1]BOUSSIFET!$K$22</f>
        <v>1.5583333333333331</v>
      </c>
      <c r="D3" s="1">
        <f>[1]BOUSSIFET!$K$23</f>
        <v>1.7041666666666664</v>
      </c>
      <c r="E3" s="1">
        <f>[1]BOUSSIFET!$K$24</f>
        <v>1.6930555555555553</v>
      </c>
      <c r="F3" s="1">
        <f>[1]BOUSSIFET!$K$25</f>
        <v>1.1138888888888887</v>
      </c>
      <c r="G3" s="1">
        <f>[1]BOUSSIFET!$K$26</f>
        <v>1.3638888888888887</v>
      </c>
      <c r="H3" s="1">
        <f>[1]BOUSSIFET!$K$27</f>
        <v>1.7138888888888888</v>
      </c>
      <c r="I3" s="1">
        <f>[1]BOUSSIFET!$K$28</f>
        <v>1.8131944444444443</v>
      </c>
      <c r="J3" s="1">
        <f>[1]BOUSSIFET!$K$29</f>
        <v>1.7272083333333332</v>
      </c>
      <c r="K3" s="1">
        <f>[1]BOUSSIFET!$K$30</f>
        <v>1.9272083333333332</v>
      </c>
      <c r="L3" s="1">
        <f>[1]BOUSSIFET!$K$31</f>
        <v>1.8355416666666664</v>
      </c>
      <c r="M3" s="1">
        <f>[1]BOUSSIFET!$K$32</f>
        <v>1.9417916666666664</v>
      </c>
      <c r="N3" s="1">
        <f>[1]BOUSSIFET!$K$33</f>
        <v>1.9420694444444442</v>
      </c>
    </row>
    <row r="4" spans="1:14" x14ac:dyDescent="0.25">
      <c r="A4" t="s">
        <v>32</v>
      </c>
      <c r="B4" s="1">
        <f>[1]DEKLERCK!$E$19</f>
        <v>0</v>
      </c>
      <c r="C4" s="1">
        <f>[1]DEKLERCK!$K$22</f>
        <v>0</v>
      </c>
      <c r="D4" s="1">
        <f>[1]DEKLERCK!$K$23</f>
        <v>0</v>
      </c>
      <c r="E4" s="1">
        <f>[1]DEKLERCK!$K$24</f>
        <v>0</v>
      </c>
      <c r="F4" s="1">
        <f>[1]DEKLERCK!$K$25</f>
        <v>0</v>
      </c>
      <c r="G4" s="1">
        <f>[1]DEKLERCK!$K$26</f>
        <v>0</v>
      </c>
      <c r="H4" s="1">
        <f>[1]DEKLERCK!$K$27</f>
        <v>0</v>
      </c>
      <c r="I4" s="1">
        <f>[1]DEKLERCK!$K$28</f>
        <v>0</v>
      </c>
      <c r="J4" s="1">
        <f>[1]DEKLERCK!$K$29</f>
        <v>0</v>
      </c>
      <c r="K4" s="1">
        <f>[1]DEKLERCK!$K$30</f>
        <v>0</v>
      </c>
      <c r="L4" s="1">
        <f>[1]DEKLERCK!$K$31</f>
        <v>0</v>
      </c>
      <c r="M4" s="1">
        <f>[1]DEKLERCK!$K$32</f>
        <v>0.25</v>
      </c>
      <c r="N4" s="1">
        <f>[1]DEKLERCK!$K$33</f>
        <v>0.29166666666666663</v>
      </c>
    </row>
    <row r="5" spans="1:14" x14ac:dyDescent="0.25">
      <c r="A5" t="s">
        <v>15</v>
      </c>
      <c r="B5" s="1" t="str">
        <f>[1]DELFORGE!$E$19</f>
        <v xml:space="preserve"> </v>
      </c>
      <c r="C5" s="1">
        <f>[1]DELFORGE!$K$22</f>
        <v>0.15416666666666662</v>
      </c>
      <c r="D5" s="1">
        <f>[1]DELFORGE!$K$23</f>
        <v>0.3027777777777777</v>
      </c>
      <c r="E5" s="1">
        <f>[1]DELFORGE!$K$24</f>
        <v>1.0576388888888888</v>
      </c>
      <c r="F5" s="1">
        <f>[1]DELFORGE!$K$25</f>
        <v>1.3076388888888888</v>
      </c>
      <c r="G5" s="1">
        <f>[1]DELFORGE!$K$26</f>
        <v>1.5611111111111109</v>
      </c>
      <c r="H5" s="1">
        <f>[1]DELFORGE!$K$27</f>
        <v>1.9791666666666667</v>
      </c>
      <c r="I5" s="1">
        <f>[1]DELFORGE!$K$28</f>
        <v>2.2694444444444444</v>
      </c>
      <c r="J5" s="1">
        <f>[1]DELFORGE!$K$29</f>
        <v>1.8916666666666666</v>
      </c>
      <c r="K5" s="1">
        <f>[1]DELFORGE!$K$30</f>
        <v>1.7638888888888888</v>
      </c>
      <c r="L5" s="1">
        <f>[1]DELFORGE!$K$31</f>
        <v>1.8569444444444443</v>
      </c>
      <c r="M5" s="1">
        <f>[1]DELFORGE!$K$32</f>
        <v>1.9159722222222222</v>
      </c>
      <c r="N5" s="1">
        <f>[1]DELFORGE!$K$33</f>
        <v>2.0090277777777779</v>
      </c>
    </row>
    <row r="6" spans="1:14" x14ac:dyDescent="0.25">
      <c r="A6" t="s">
        <v>16</v>
      </c>
      <c r="B6" s="1" t="str">
        <f>[1]DEWEZ!$E$19</f>
        <v xml:space="preserve"> </v>
      </c>
      <c r="C6" s="1">
        <f>[1]DEWEZ!$K$22</f>
        <v>0</v>
      </c>
      <c r="D6" s="1">
        <f>[1]DEWEZ!$K$23</f>
        <v>0</v>
      </c>
      <c r="E6" s="1">
        <f>[1]DEWEZ!$K$24</f>
        <v>0</v>
      </c>
      <c r="F6" s="1">
        <f>[1]DEWEZ!$K$25</f>
        <v>0</v>
      </c>
      <c r="G6" s="1">
        <f>[1]DEWEZ!$K$26</f>
        <v>1.7361111111111105E-2</v>
      </c>
      <c r="H6" s="1">
        <f>[1]DEWEZ!$K$27</f>
        <v>0.49375000000000002</v>
      </c>
      <c r="I6" s="1">
        <f>[1]DEWEZ!$K$28</f>
        <v>0.75</v>
      </c>
      <c r="J6" s="1">
        <f>[1]DEWEZ!$K$29</f>
        <v>0.76041666666666663</v>
      </c>
      <c r="K6" s="1">
        <f>[1]DEWEZ!$K$30</f>
        <v>0.87916666666666665</v>
      </c>
      <c r="L6" s="1">
        <f>[1]DEWEZ!$K$31</f>
        <v>0.46805555555555556</v>
      </c>
      <c r="M6" s="1">
        <f>[1]DEWEZ!$K$32</f>
        <v>0.71180555555555558</v>
      </c>
      <c r="N6" s="1">
        <f>[1]DEWEZ!$K$33</f>
        <v>0.46666666666666667</v>
      </c>
    </row>
    <row r="7" spans="1:14" x14ac:dyDescent="0.25">
      <c r="A7" t="s">
        <v>17</v>
      </c>
      <c r="B7" s="1" t="str">
        <f>[1]DIRICK!$E$19</f>
        <v xml:space="preserve"> </v>
      </c>
      <c r="C7" s="1">
        <f>[1]DIRICK!$K$22</f>
        <v>1.1305555555555555</v>
      </c>
      <c r="D7" s="1">
        <f>[1]DIRICK!$K$23</f>
        <v>0.7729166666666667</v>
      </c>
      <c r="E7" s="1">
        <f>[1]DIRICK!$K$24</f>
        <v>0.7554563492063493</v>
      </c>
      <c r="F7" s="1">
        <f>[1]DIRICK!$K$25</f>
        <v>0.78809523809523818</v>
      </c>
      <c r="G7" s="1">
        <f>[1]DIRICK!$K$26</f>
        <v>0.96865079365079376</v>
      </c>
      <c r="H7" s="1">
        <f>[1]DIRICK!$K$27</f>
        <v>1.1388888888888891</v>
      </c>
      <c r="I7" s="1">
        <f>[1]DIRICK!$K$28</f>
        <v>1.2326388888888891</v>
      </c>
      <c r="J7" s="1">
        <f>[1]DIRICK!$K$29</f>
        <v>1.322916666666667</v>
      </c>
      <c r="K7" s="1">
        <f>[1]DIRICK!$K$30</f>
        <v>1.4659722222222225</v>
      </c>
      <c r="L7" s="1">
        <f>[1]DIRICK!$K$31</f>
        <v>1.3807669082125607</v>
      </c>
      <c r="M7" s="1">
        <f>[1]DIRICK!$K$32</f>
        <v>0.97451690821256065</v>
      </c>
      <c r="N7" s="1">
        <f>[1]DIRICK!$K$33</f>
        <v>0.8849335748792273</v>
      </c>
    </row>
    <row r="8" spans="1:14" x14ac:dyDescent="0.25">
      <c r="A8" t="s">
        <v>18</v>
      </c>
      <c r="B8" s="1" t="str">
        <f>[1]DUCHENE!$E$19</f>
        <v xml:space="preserve"> </v>
      </c>
      <c r="C8" s="1">
        <f>[1]DUCHENE!$K$22</f>
        <v>0.56666666666666665</v>
      </c>
      <c r="D8" s="1">
        <f>[1]DUCHENE!$K$23</f>
        <v>0.73333333333333339</v>
      </c>
      <c r="E8" s="1">
        <f>[1]DUCHENE!$K$24</f>
        <v>0.64781746031746035</v>
      </c>
      <c r="F8" s="1">
        <f>[1]DUCHENE!$K$25</f>
        <v>0.49295634920634923</v>
      </c>
      <c r="G8" s="1">
        <f>[1]DUCHENE!$K$26</f>
        <v>2.6289682539682557E-2</v>
      </c>
      <c r="H8" s="1">
        <f>[1]DUCHENE!$K$27</f>
        <v>0.49791666666666662</v>
      </c>
      <c r="I8" s="1">
        <f>[1]DUCHENE!$K$28</f>
        <v>0.69722222222222219</v>
      </c>
      <c r="J8" s="1">
        <f>[1]DUCHENE!$K$29</f>
        <v>0.86458333333333326</v>
      </c>
      <c r="K8" s="1">
        <f>[1]DUCHENE!$K$30</f>
        <v>0.70082070707070687</v>
      </c>
      <c r="L8" s="1">
        <f>[1]DUCHENE!$K$31</f>
        <v>0.78055555555555556</v>
      </c>
      <c r="M8" s="1">
        <f>[1]DUCHENE!$K$32</f>
        <v>0.90555555555555556</v>
      </c>
      <c r="N8" s="1">
        <f>[1]DUCHENE!$K$33</f>
        <v>0.88472222222222219</v>
      </c>
    </row>
    <row r="9" spans="1:14" x14ac:dyDescent="0.25">
      <c r="A9" t="s">
        <v>35</v>
      </c>
      <c r="B9" s="1">
        <f>[1]DURUISSEAU!$E$19</f>
        <v>0</v>
      </c>
      <c r="C9" s="1">
        <f>[1]DURUISSEAU!$K$22</f>
        <v>0</v>
      </c>
      <c r="D9" s="1">
        <f>[1]DURUISSEAU!$K$23</f>
        <v>0</v>
      </c>
      <c r="E9" s="1">
        <f>[1]DURUISSEAU!$K$24</f>
        <v>0</v>
      </c>
      <c r="F9" s="1">
        <f>[1]DURUISSEAU!$K$25</f>
        <v>0</v>
      </c>
      <c r="G9" s="1">
        <f>[1]DURUISSEAU!$K$26</f>
        <v>0</v>
      </c>
      <c r="H9" s="1">
        <f>[1]DURUISSEAU!$K$27</f>
        <v>0</v>
      </c>
      <c r="I9" s="1">
        <f>[1]DURUISSEAU!$K$28</f>
        <v>0</v>
      </c>
      <c r="J9" s="1">
        <f>[1]DURUISSEAU!$K$29</f>
        <v>0</v>
      </c>
      <c r="K9" s="1">
        <f>[1]DURUISSEAU!$K$30</f>
        <v>0</v>
      </c>
      <c r="L9" s="1">
        <f>[1]DURUISSEAU!$K$31</f>
        <v>0</v>
      </c>
      <c r="M9" s="1">
        <f>[1]DURUISSEAU!$K$32</f>
        <v>0</v>
      </c>
      <c r="N9" s="1">
        <f>[1]DURUISSEAU!$K$33</f>
        <v>0</v>
      </c>
    </row>
    <row r="10" spans="1:14" x14ac:dyDescent="0.25">
      <c r="A10" t="s">
        <v>19</v>
      </c>
      <c r="B10" s="1" t="str">
        <f>[1]HEIRBRANT!$E$19</f>
        <v xml:space="preserve"> </v>
      </c>
      <c r="C10" s="1">
        <f>[1]HEIRBRANT!$K$22</f>
        <v>0.54277777777777769</v>
      </c>
      <c r="D10" s="1">
        <f>[1]HEIRBRANT!$K$23</f>
        <v>0.3726388888888888</v>
      </c>
      <c r="E10" s="1">
        <f>[1]HEIRBRANT!$K$24</f>
        <v>0.76708333333333323</v>
      </c>
      <c r="F10" s="1">
        <f>[1]HEIRBRANT!$K$25</f>
        <v>1.1101388888888888</v>
      </c>
      <c r="G10" s="1">
        <f>[1]HEIRBRANT!$K$26</f>
        <v>1.1372222222222221</v>
      </c>
      <c r="H10" s="1">
        <f>[1]HEIRBRANT!$K$27</f>
        <v>1.1916666666666667</v>
      </c>
      <c r="I10" s="1">
        <f>[1]HEIRBRANT!$K$28</f>
        <v>1.2416666666666667</v>
      </c>
      <c r="J10" s="1">
        <f>[1]HEIRBRANT!$K$29</f>
        <v>0.82500000000000007</v>
      </c>
      <c r="K10" s="1">
        <f>[1]HEIRBRANT!$K$30</f>
        <v>0.72638888888888897</v>
      </c>
      <c r="L10" s="1">
        <f>[1]HEIRBRANT!$K$31</f>
        <v>0.4766304347826088</v>
      </c>
      <c r="M10" s="1">
        <f>[1]HEIRBRANT!$K$32</f>
        <v>0.37107487922705323</v>
      </c>
      <c r="N10" s="1">
        <f>[1]HEIRBRANT!$K$33</f>
        <v>-4.350845410628007E-2</v>
      </c>
    </row>
    <row r="11" spans="1:14" x14ac:dyDescent="0.25">
      <c r="A11" t="s">
        <v>20</v>
      </c>
      <c r="B11" s="1" t="str">
        <f>[1]INZERILLI!$E$19</f>
        <v xml:space="preserve"> </v>
      </c>
      <c r="C11" s="1">
        <f>[1]INZERILLI!$K$22</f>
        <v>1.4486111111111108</v>
      </c>
      <c r="D11" s="1">
        <f>[1]INZERILLI!$K$23</f>
        <v>0.95972222222222192</v>
      </c>
      <c r="E11" s="1">
        <f>[1]INZERILLI!$K$24</f>
        <v>1.4277777777777774</v>
      </c>
      <c r="F11" s="1">
        <f>[1]INZERILLI!$K$25</f>
        <v>1.6847222222222218</v>
      </c>
      <c r="G11" s="1">
        <f>[1]INZERILLI!$K$26</f>
        <v>2.0736111111111106</v>
      </c>
      <c r="H11" s="1">
        <f>[1]INZERILLI!$K$27</f>
        <v>2.3347222222222226</v>
      </c>
      <c r="I11" s="1">
        <f>[1]INZERILLI!$K$28</f>
        <v>2.4354166666666668</v>
      </c>
      <c r="J11" s="1">
        <f>[1]INZERILLI!$K$29</f>
        <v>2.6854166666666668</v>
      </c>
      <c r="K11" s="1">
        <f>[1]INZERILLI!$K$30</f>
        <v>2.7563131313131315</v>
      </c>
      <c r="L11" s="1">
        <f>[1]INZERILLI!$K$31</f>
        <v>2.7046826965305231</v>
      </c>
      <c r="M11" s="1">
        <f>[1]INZERILLI!$K$32</f>
        <v>2.7664882520860785</v>
      </c>
      <c r="N11" s="1">
        <f>[1]INZERILLI!$K$33</f>
        <v>2.8838932228463121</v>
      </c>
    </row>
    <row r="12" spans="1:14" x14ac:dyDescent="0.25">
      <c r="A12" t="s">
        <v>21</v>
      </c>
      <c r="B12" s="1" t="str">
        <f>[1]JAMAR!$E$19</f>
        <v xml:space="preserve"> </v>
      </c>
      <c r="C12" s="1">
        <f>[1]JAMAR!$K$22</f>
        <v>0.42152777777777778</v>
      </c>
      <c r="D12" s="1">
        <f>[1]JAMAR!$K$23</f>
        <v>0.40138888888888891</v>
      </c>
      <c r="E12" s="1">
        <f>[1]JAMAR!$K$24</f>
        <v>1.1805555555555625E-2</v>
      </c>
      <c r="F12" s="1">
        <f>[1]JAMAR!$K$25</f>
        <v>0.50069444444444455</v>
      </c>
      <c r="G12" s="1">
        <f>[1]JAMAR!$K$26</f>
        <v>5.8333333333333459E-2</v>
      </c>
      <c r="H12" s="1">
        <f>[1]JAMAR!$K$27</f>
        <v>0.21527777777777779</v>
      </c>
      <c r="I12" s="1">
        <f>[1]JAMAR!$K$28</f>
        <v>0.37986111111111109</v>
      </c>
      <c r="J12" s="1">
        <f>[1]JAMAR!$K$29</f>
        <v>0.54236111111111107</v>
      </c>
      <c r="K12" s="1">
        <f>[1]JAMAR!$K$30</f>
        <v>0.38604040404040402</v>
      </c>
      <c r="L12" s="1">
        <f>[1]JAMAR!$K$31</f>
        <v>0.2336792929292929</v>
      </c>
      <c r="M12" s="1">
        <f>[1]JAMAR!$K$32</f>
        <v>0.38256818181818181</v>
      </c>
      <c r="N12" s="1">
        <f>[1]JAMAR!$K$33</f>
        <v>0.33817490696438063</v>
      </c>
    </row>
    <row r="13" spans="1:14" x14ac:dyDescent="0.25">
      <c r="A13" t="s">
        <v>22</v>
      </c>
      <c r="B13" s="1" t="str">
        <f>[1]JAMART!$E$19</f>
        <v xml:space="preserve"> </v>
      </c>
      <c r="C13" s="1">
        <f>[1]JAMART!$K$22</f>
        <v>0.17569444444444446</v>
      </c>
      <c r="D13" s="1">
        <f>[1]JAMART!$K$23</f>
        <v>2.8472222222222232E-2</v>
      </c>
      <c r="E13" s="1">
        <f>[1]JAMART!$K$24</f>
        <v>0.11656746031746033</v>
      </c>
      <c r="F13" s="1">
        <f>[1]JAMART!$K$25</f>
        <v>0.13531746031746034</v>
      </c>
      <c r="G13" s="1">
        <f>[1]JAMART!$K$26</f>
        <v>0.19087301587301592</v>
      </c>
      <c r="H13" s="1">
        <f>[1]JAMART!$K$27</f>
        <v>0.26628472222222227</v>
      </c>
      <c r="I13" s="1">
        <f>[1]JAMART!$K$28</f>
        <v>0.17825441919191926</v>
      </c>
      <c r="J13" s="1">
        <f>[1]JAMART!$K$29</f>
        <v>0.24643497474747483</v>
      </c>
      <c r="K13" s="1">
        <f>[1]JAMART!$K$30</f>
        <v>0.25825315656565662</v>
      </c>
      <c r="L13" s="1">
        <f>[1]JAMART!$K$31</f>
        <v>0.29714204545454548</v>
      </c>
      <c r="M13" s="1">
        <f>[1]JAMART!$K$32</f>
        <v>0.36214204545454548</v>
      </c>
      <c r="N13" s="1">
        <f>[1]JAMART!$K$33</f>
        <v>0.10460549574694314</v>
      </c>
    </row>
    <row r="14" spans="1:14" x14ac:dyDescent="0.25">
      <c r="A14" t="s">
        <v>29</v>
      </c>
      <c r="B14" s="1" t="str">
        <f>[1]KINIF!$E$19</f>
        <v xml:space="preserve"> </v>
      </c>
      <c r="C14" s="1">
        <f>[1]KINIF!$K$22</f>
        <v>1.3354166666666667</v>
      </c>
      <c r="D14" s="1">
        <f>[1]KINIF!$K$23</f>
        <v>1.2902777777777779</v>
      </c>
      <c r="E14" s="1">
        <f>[1]KINIF!$K$24</f>
        <v>1.3527777777777779</v>
      </c>
      <c r="F14" s="1">
        <f>[1]KINIF!$K$25</f>
        <v>1.5555555555555556</v>
      </c>
      <c r="G14" s="1">
        <f>[1]KINIF!$K$26</f>
        <v>1.6381944444444443</v>
      </c>
      <c r="H14" s="1">
        <f>[1]KINIF!$K$27</f>
        <v>1.5583333333333333</v>
      </c>
      <c r="I14" s="1">
        <f>[1]KINIF!$K$28</f>
        <v>1.5010227272727272</v>
      </c>
      <c r="J14" s="1">
        <f>[1]KINIF!$K$29</f>
        <v>1.4633282828282828</v>
      </c>
      <c r="K14" s="1">
        <f>[1]KINIF!$K$30</f>
        <v>1.5244393939393939</v>
      </c>
      <c r="L14" s="1">
        <f>[1]KINIF!$K$31</f>
        <v>1.2536060606060604</v>
      </c>
      <c r="M14" s="1">
        <f>[1]KINIF!$K$32</f>
        <v>1.3702727272727271</v>
      </c>
      <c r="N14" s="1">
        <f>[1]KINIF!$K$33</f>
        <v>1.5560227272727272</v>
      </c>
    </row>
    <row r="15" spans="1:14" x14ac:dyDescent="0.25">
      <c r="A15" t="s">
        <v>30</v>
      </c>
      <c r="B15" s="1">
        <f>[1]LABBE!$E$19</f>
        <v>0</v>
      </c>
      <c r="C15" s="1">
        <f>[1]LABBE!$K$22</f>
        <v>0</v>
      </c>
      <c r="D15" s="1">
        <f>[1]LABBE!$K$23</f>
        <v>0</v>
      </c>
      <c r="E15" s="1">
        <f>[1]LABBE!$K$24</f>
        <v>0</v>
      </c>
      <c r="F15" s="1">
        <f>[1]LABBE!$K$25</f>
        <v>0</v>
      </c>
      <c r="G15" s="1">
        <f>[1]LABBE!$K$26</f>
        <v>0</v>
      </c>
      <c r="H15" s="1">
        <f>[1]LABBE!$K$27</f>
        <v>0</v>
      </c>
      <c r="I15" s="1">
        <f>[1]LABBE!$K$28</f>
        <v>0</v>
      </c>
      <c r="J15" s="1">
        <f>[1]LABBE!$K$29</f>
        <v>0</v>
      </c>
      <c r="K15" s="1">
        <f>[1]LABBE!$K$30</f>
        <v>0.53749999999999998</v>
      </c>
      <c r="L15" s="1">
        <f>[1]LABBE!$K$31</f>
        <v>0.53888888888888886</v>
      </c>
      <c r="M15" s="1">
        <f>[1]LABBE!$K$32</f>
        <v>0.57847222222222228</v>
      </c>
      <c r="N15" s="1">
        <f>[1]LABBE!$K$33</f>
        <v>0.27013888888888893</v>
      </c>
    </row>
    <row r="16" spans="1:14" x14ac:dyDescent="0.25">
      <c r="A16" t="s">
        <v>23</v>
      </c>
      <c r="B16" s="1" t="str">
        <f>[1]LAMBERT!$E$19</f>
        <v xml:space="preserve"> </v>
      </c>
      <c r="C16" s="1">
        <f>[1]LAMBERT!$K$22</f>
        <v>0.32430555555555551</v>
      </c>
      <c r="D16" s="1">
        <f>[1]LAMBERT!$K$23</f>
        <v>0.10069444444444436</v>
      </c>
      <c r="E16" s="1">
        <f>[1]LAMBERT!$K$24</f>
        <v>0.72777777777777775</v>
      </c>
      <c r="F16" s="1">
        <f>[1]LAMBERT!$K$25</f>
        <v>0.21299603174603168</v>
      </c>
      <c r="G16" s="1">
        <f>[1]LAMBERT!$K$26</f>
        <v>-4.1170634920634969E-2</v>
      </c>
      <c r="H16" s="1">
        <f>[1]LAMBERT!$K$27</f>
        <v>5.9722222222222232E-2</v>
      </c>
      <c r="I16" s="1">
        <f>[1]LAMBERT!$K$28</f>
        <v>0.30972222222222223</v>
      </c>
      <c r="J16" s="1">
        <f>[1]LAMBERT!$K$29</f>
        <v>0.53888888888888897</v>
      </c>
      <c r="K16" s="1">
        <f>[1]LAMBERT!$K$30</f>
        <v>0.55574494949494957</v>
      </c>
      <c r="L16" s="1">
        <f>[1]LAMBERT!$K$31</f>
        <v>0.60716403162055343</v>
      </c>
      <c r="M16" s="1">
        <f>[1]LAMBERT!$K$32</f>
        <v>0.40438625384277571</v>
      </c>
      <c r="N16" s="1">
        <f>[1]LAMBERT!$K$33</f>
        <v>0.34502952869657688</v>
      </c>
    </row>
    <row r="17" spans="1:14" x14ac:dyDescent="0.25">
      <c r="A17" t="s">
        <v>24</v>
      </c>
      <c r="B17" s="1" t="str">
        <f>[1]LEMAITRE!$E$19</f>
        <v xml:space="preserve"> </v>
      </c>
      <c r="C17" s="1">
        <f>[1]LEMAITRE!$K$22</f>
        <v>8.333333333333337E-2</v>
      </c>
      <c r="D17" s="1">
        <f>[1]LEMAITRE!$K$23</f>
        <v>7.6388888888888923E-2</v>
      </c>
      <c r="E17" s="1">
        <f>[1]LEMAITRE!$K$24</f>
        <v>7.6388888888888923E-2</v>
      </c>
      <c r="F17" s="1">
        <f>[1]LEMAITRE!$K$25</f>
        <v>0.34375000000000011</v>
      </c>
      <c r="G17" s="1">
        <f>[1]LEMAITRE!$K$26</f>
        <v>0.15486111111111123</v>
      </c>
      <c r="H17" s="1">
        <f>[1]LEMAITRE!$K$27</f>
        <v>0.43472222222222223</v>
      </c>
      <c r="I17" s="1">
        <f>[1]LEMAITRE!$K$28</f>
        <v>0.60138888888888897</v>
      </c>
      <c r="J17" s="1">
        <f>[1]LEMAITRE!$K$29</f>
        <v>0.51597222222222228</v>
      </c>
      <c r="K17" s="1">
        <f>[1]LEMAITRE!$K$30</f>
        <v>0.32689393939393946</v>
      </c>
      <c r="L17" s="1">
        <f>[1]LEMAITRE!$K$31</f>
        <v>0.25328282828282833</v>
      </c>
      <c r="M17" s="1">
        <f>[1]LEMAITRE!$K$32</f>
        <v>0.28106060606060612</v>
      </c>
      <c r="N17" s="1">
        <f>[1]LEMAITRE!$K$33</f>
        <v>0.28106060606060612</v>
      </c>
    </row>
    <row r="18" spans="1:14" x14ac:dyDescent="0.25">
      <c r="A18" t="s">
        <v>36</v>
      </c>
      <c r="B18" s="1" t="str">
        <f>[1]LIEGEOIS!$E$19</f>
        <v xml:space="preserve"> </v>
      </c>
      <c r="C18" s="1">
        <f>[1]LIEGEOIS!$K$22</f>
        <v>0.23541666666666669</v>
      </c>
      <c r="D18" s="1">
        <f>[1]LIEGEOIS!$K$23</f>
        <v>0.23541666666666669</v>
      </c>
      <c r="E18" s="1">
        <f>[1]LIEGEOIS!$K$24</f>
        <v>0.23541666666666669</v>
      </c>
      <c r="F18" s="1">
        <f>[1]LIEGEOIS!$K$25</f>
        <v>0.22083333333333335</v>
      </c>
      <c r="G18" s="1">
        <f>[1]LIEGEOIS!$K$26</f>
        <v>0.46319444444444446</v>
      </c>
      <c r="H18" s="1">
        <f>[1]LIEGEOIS!$K$27</f>
        <v>0.41388888888888897</v>
      </c>
      <c r="I18" s="1">
        <f>[1]LIEGEOIS!$K$28</f>
        <v>0.53402777777777788</v>
      </c>
      <c r="J18" s="1">
        <f>[1]LIEGEOIS!$K$29</f>
        <v>0.65416666666666679</v>
      </c>
      <c r="K18" s="1">
        <f>[1]LIEGEOIS!$K$30</f>
        <v>0.77916666666666679</v>
      </c>
      <c r="L18" s="1">
        <f>[1]LIEGEOIS!$K$31</f>
        <v>0.90416666666666679</v>
      </c>
      <c r="M18" s="1">
        <f>[1]LIEGEOIS!$K$32</f>
        <v>1.0222222222222224</v>
      </c>
      <c r="N18" s="1">
        <f>[1]LIEGEOIS!$K$33</f>
        <v>2.4305555555555802E-2</v>
      </c>
    </row>
    <row r="19" spans="1:14" x14ac:dyDescent="0.25">
      <c r="A19" t="s">
        <v>25</v>
      </c>
      <c r="B19" s="1" t="str">
        <f>[1]MOSCATO!$E$19</f>
        <v xml:space="preserve"> </v>
      </c>
      <c r="C19" s="1">
        <f>[1]MOSCATO!$K$22</f>
        <v>0.85138888888888886</v>
      </c>
      <c r="D19" s="1">
        <f>[1]MOSCATO!$K$23</f>
        <v>0.70416666666666661</v>
      </c>
      <c r="E19" s="1">
        <f>[1]MOSCATO!$K$24</f>
        <v>0.59583333333333321</v>
      </c>
      <c r="F19" s="1">
        <f>[1]MOSCATO!$K$25</f>
        <v>0.59583333333333321</v>
      </c>
      <c r="G19" s="1">
        <f>[1]MOSCATO!$K$26</f>
        <v>0.39722222222222209</v>
      </c>
      <c r="H19" s="1">
        <f>[1]MOSCATO!$K$27</f>
        <v>0.81388888888888888</v>
      </c>
      <c r="I19" s="1">
        <f>[1]MOSCATO!$K$28</f>
        <v>1.151388888888889</v>
      </c>
      <c r="J19" s="1">
        <f>[1]MOSCATO!$K$29</f>
        <v>1.615277777777778</v>
      </c>
      <c r="K19" s="1">
        <f>[1]MOSCATO!$K$30</f>
        <v>1.3826388888888892</v>
      </c>
      <c r="L19" s="1">
        <f>[1]MOSCATO!$K$31</f>
        <v>0.75902777777777808</v>
      </c>
      <c r="M19" s="1">
        <f>[1]MOSCATO!$K$32</f>
        <v>0.94513888888888919</v>
      </c>
      <c r="N19" s="1">
        <f>[1]MOSCATO!$K$33</f>
        <v>0.72569444444444475</v>
      </c>
    </row>
    <row r="20" spans="1:14" x14ac:dyDescent="0.25">
      <c r="A20" t="s">
        <v>26</v>
      </c>
      <c r="B20" s="1" t="str">
        <f>[1]NEZER!$E$19</f>
        <v xml:space="preserve"> </v>
      </c>
      <c r="C20" s="1">
        <f>[1]NEZER!$K$22</f>
        <v>0.89097222222222217</v>
      </c>
      <c r="D20" s="1">
        <f>[1]NEZER!$K$23</f>
        <v>0.77986111111111101</v>
      </c>
      <c r="E20" s="1">
        <f>[1]NEZER!$K$24</f>
        <v>1.5576388888888886</v>
      </c>
      <c r="F20" s="1">
        <f>[1]NEZER!$K$25</f>
        <v>2.3895833333333329</v>
      </c>
      <c r="G20" s="1">
        <f>[1]NEZER!$K$26</f>
        <v>2.2743055555555554</v>
      </c>
      <c r="H20" s="1">
        <f>[1]NEZER!$K$27</f>
        <v>2.4763888888888888</v>
      </c>
      <c r="I20" s="1">
        <f>[1]NEZER!$K$28</f>
        <v>2.3355277777777776</v>
      </c>
      <c r="J20" s="1">
        <f>[1]NEZER!$K$29</f>
        <v>2.6126111111111108</v>
      </c>
      <c r="K20" s="1">
        <f>[1]NEZER!$K$30</f>
        <v>2.7313611111111111</v>
      </c>
      <c r="L20" s="1">
        <f>[1]NEZER!$K$31</f>
        <v>2.2424722222222222</v>
      </c>
      <c r="M20" s="1">
        <f>[1]NEZER!$K$32</f>
        <v>2.0544166666666666</v>
      </c>
      <c r="N20" s="1">
        <f>[1]NEZER!$K$33</f>
        <v>1.9002499999999998</v>
      </c>
    </row>
    <row r="21" spans="1:14" x14ac:dyDescent="0.25">
      <c r="A21" t="s">
        <v>27</v>
      </c>
      <c r="B21" s="1" t="str">
        <f>[1]PESESSE!$E$19</f>
        <v xml:space="preserve"> </v>
      </c>
      <c r="C21" s="1">
        <f>[1]PESESSE!$K$22</f>
        <v>0.1715277777777777</v>
      </c>
      <c r="D21" s="1">
        <f>[1]PESESSE!$K$23</f>
        <v>0.29652777777777772</v>
      </c>
      <c r="E21" s="1">
        <f>[1]PESESSE!$K$24</f>
        <v>0.25208333333333327</v>
      </c>
      <c r="F21" s="1">
        <f>[1]PESESSE!$K$25</f>
        <v>0.31041666666666662</v>
      </c>
      <c r="G21" s="1">
        <f>[1]PESESSE!$K$26</f>
        <v>0.22291666666666662</v>
      </c>
      <c r="H21" s="1">
        <f>[1]PESESSE!$K$27</f>
        <v>0.80486111111111114</v>
      </c>
      <c r="I21" s="1">
        <f>[1]PESESSE!$K$28</f>
        <v>1.5633055555555555</v>
      </c>
      <c r="J21" s="1">
        <f>[1]PESESSE!$K$29</f>
        <v>1.3348333333333333</v>
      </c>
      <c r="K21" s="1">
        <f>[1]PESESSE!$K$30</f>
        <v>1.3946818181818181</v>
      </c>
      <c r="L21" s="1">
        <f>[1]PESESSE!$K$31</f>
        <v>1.2726709486166008</v>
      </c>
      <c r="M21" s="1">
        <f>[1]PESESSE!$K$32</f>
        <v>1.0622542819499341</v>
      </c>
      <c r="N21" s="1">
        <f>[1]PESESSE!$K$33</f>
        <v>0.52286100709613292</v>
      </c>
    </row>
    <row r="22" spans="1:14" x14ac:dyDescent="0.25">
      <c r="A22" t="s">
        <v>33</v>
      </c>
      <c r="B22" s="1">
        <f>[1]SEGHIAR!$E$19</f>
        <v>0</v>
      </c>
      <c r="C22" s="1">
        <f>[1]SEGHIAR!$K$22</f>
        <v>0</v>
      </c>
      <c r="D22" s="1">
        <f>[1]SEGHIAR!$K$23</f>
        <v>0</v>
      </c>
      <c r="E22" s="1">
        <f>[1]SEGHIAR!$K$24</f>
        <v>0</v>
      </c>
      <c r="F22" s="1">
        <f>[1]SEGHIAR!$K$25</f>
        <v>0</v>
      </c>
      <c r="G22" s="1">
        <f>[1]SEGHIAR!$K$26</f>
        <v>0</v>
      </c>
      <c r="H22" s="1">
        <f>[1]SEGHIAR!$K$27</f>
        <v>0</v>
      </c>
      <c r="I22" s="1">
        <f>[1]SEGHIAR!$K$28</f>
        <v>0</v>
      </c>
      <c r="J22" s="1">
        <f>[1]SEGHIAR!$K$29</f>
        <v>0</v>
      </c>
      <c r="K22" s="1">
        <f>[1]SEGHIAR!$K$30</f>
        <v>0</v>
      </c>
      <c r="L22" s="1">
        <f>[1]SEGHIAR!$K$31</f>
        <v>0</v>
      </c>
      <c r="M22" s="1">
        <f>[1]SEGHIAR!$K$32</f>
        <v>0.23819444444444443</v>
      </c>
      <c r="N22" s="1">
        <f>[1]SEGHIAR!$K$33</f>
        <v>0.19722222222222219</v>
      </c>
    </row>
    <row r="23" spans="1:14" x14ac:dyDescent="0.25">
      <c r="A23" t="s">
        <v>28</v>
      </c>
      <c r="B23" s="1" t="str">
        <f>[1]SUSAM!$E$19</f>
        <v xml:space="preserve"> </v>
      </c>
      <c r="C23" s="1">
        <f>[1]SUSAM!$K$22</f>
        <v>3.3777777777777782</v>
      </c>
      <c r="D23" s="1">
        <f>[1]SUSAM!$K$23</f>
        <v>3.6277777777777782</v>
      </c>
      <c r="E23" s="1">
        <f>[1]SUSAM!$K$24</f>
        <v>2.1992063492063494</v>
      </c>
      <c r="F23" s="1">
        <f>[1]SUSAM!$K$25</f>
        <v>2.3957341269841272</v>
      </c>
      <c r="G23" s="1">
        <f>[1]SUSAM!$K$26</f>
        <v>2.4978174603174605</v>
      </c>
      <c r="H23" s="1">
        <f>[1]SUSAM!$K$27</f>
        <v>2.9069444444444446</v>
      </c>
      <c r="I23" s="1">
        <f>[1]SUSAM!$K$28</f>
        <v>2.0951388888888891</v>
      </c>
      <c r="J23" s="1">
        <f>[1]SUSAM!$K$29</f>
        <v>2.3451388888888891</v>
      </c>
      <c r="K23" s="1">
        <f>[1]SUSAM!$K$30</f>
        <v>2.5590277777777781</v>
      </c>
      <c r="L23" s="1">
        <f>[1]SUSAM!$K$31</f>
        <v>2.8090277777777781</v>
      </c>
      <c r="M23" s="1">
        <f>[1]SUSAM!$K$32</f>
        <v>3.0208333333333335</v>
      </c>
      <c r="N23" s="1">
        <f>[1]SUSAM!$K$33</f>
        <v>3.2708333333333335</v>
      </c>
    </row>
    <row r="24" spans="1:14" x14ac:dyDescent="0.25">
      <c r="A24" t="s">
        <v>31</v>
      </c>
      <c r="B24" s="1">
        <f>[1]TIBEAU!$E$19</f>
        <v>0</v>
      </c>
      <c r="C24" s="1">
        <f>[1]TIBEAU!$K$22</f>
        <v>0</v>
      </c>
      <c r="D24" s="1">
        <f>[1]TIBEAU!$K$23</f>
        <v>0</v>
      </c>
      <c r="E24" s="1">
        <f>[1]TIBEAU!$K$24</f>
        <v>0</v>
      </c>
      <c r="F24" s="1">
        <f>[1]TIBEAU!$K$25</f>
        <v>0</v>
      </c>
      <c r="G24" s="1">
        <f>[1]TIBEAU!$K$26</f>
        <v>0</v>
      </c>
      <c r="H24" s="1">
        <f>[1]TIBEAU!$K$27</f>
        <v>0</v>
      </c>
      <c r="I24" s="1">
        <f>[1]TIBEAU!$K$28</f>
        <v>0</v>
      </c>
      <c r="J24" s="1">
        <f>[1]TIBEAU!$K$29</f>
        <v>0</v>
      </c>
      <c r="K24" s="1">
        <f>[1]TIBEAU!$K$30</f>
        <v>0.25</v>
      </c>
      <c r="L24" s="1">
        <f>[1]TIBEAU!$K$31</f>
        <v>0.25347222222222221</v>
      </c>
      <c r="M24" s="1">
        <f>[1]TIBEAU!$K$32</f>
        <v>0.35069444444444442</v>
      </c>
      <c r="N24" s="1">
        <f>[1]TIBEAU!$K$33</f>
        <v>0.35486111111111107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topLeftCell="A10" zoomScale="130" zoomScaleNormal="130" workbookViewId="0">
      <selection activeCell="J24" sqref="J24"/>
    </sheetView>
  </sheetViews>
  <sheetFormatPr baseColWidth="10" defaultColWidth="9.140625" defaultRowHeight="15" x14ac:dyDescent="0.25"/>
  <cols>
    <col min="1" max="1" width="23.140625" bestFit="1" customWidth="1"/>
    <col min="2" max="2" width="13.5703125" bestFit="1" customWidth="1"/>
    <col min="3" max="4" width="9.5703125" bestFit="1" customWidth="1"/>
    <col min="5" max="5" width="7.7109375" bestFit="1" customWidth="1"/>
    <col min="6" max="6" width="7.42578125" bestFit="1" customWidth="1"/>
    <col min="7" max="7" width="6.7109375" bestFit="1" customWidth="1"/>
    <col min="8" max="8" width="6.85546875" bestFit="1" customWidth="1"/>
    <col min="9" max="9" width="8.7109375" bestFit="1" customWidth="1"/>
    <col min="10" max="10" width="7.5703125" bestFit="1" customWidth="1"/>
    <col min="11" max="11" width="13.140625" bestFit="1" customWidth="1"/>
    <col min="12" max="12" width="10.42578125" bestFit="1" customWidth="1"/>
    <col min="13" max="13" width="12.7109375" bestFit="1" customWidth="1"/>
    <col min="14" max="14" width="12.42578125" bestFit="1" customWidth="1"/>
  </cols>
  <sheetData>
    <row r="1" spans="1:14" x14ac:dyDescent="0.25">
      <c r="A1" t="s">
        <v>0</v>
      </c>
      <c r="B1" t="s">
        <v>34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13</v>
      </c>
      <c r="B2" s="1" t="str">
        <f>[1]BECKER!$F$2</f>
        <v xml:space="preserve"> </v>
      </c>
      <c r="C2" s="1">
        <f>[1]BECKER!$K$5</f>
        <v>1.6583333333333339</v>
      </c>
      <c r="D2" s="1">
        <f>[1]BECKER!$K$6</f>
        <v>1.769444444444445</v>
      </c>
      <c r="E2" s="1">
        <f>[1]BECKER!$K$7</f>
        <v>2.3296717171717174</v>
      </c>
      <c r="F2" s="1">
        <f>[1]BECKER!$K$8</f>
        <v>2.0859217171717175</v>
      </c>
      <c r="G2" s="1">
        <f>[1]BECKER!$K$9</f>
        <v>1.4623106060606064</v>
      </c>
      <c r="H2" s="1">
        <f>[1]BECKER!$K$10</f>
        <v>1.2900883838383841</v>
      </c>
      <c r="I2" s="1">
        <f>[1]BECKER!$K$11</f>
        <v>1.135227272727273</v>
      </c>
      <c r="J2" s="1">
        <f>[1]BECKER!$K$12</f>
        <v>1.1595328282828286</v>
      </c>
      <c r="K2" s="1"/>
      <c r="L2" s="1"/>
      <c r="M2" s="1"/>
      <c r="N2" s="1"/>
    </row>
    <row r="3" spans="1:14" x14ac:dyDescent="0.25">
      <c r="A3" t="s">
        <v>14</v>
      </c>
      <c r="B3" s="1" t="str">
        <f>[1]BOUSSIFET!$F$2</f>
        <v xml:space="preserve"> </v>
      </c>
      <c r="C3" s="1">
        <f>[1]BOUSSIFET!$K$5</f>
        <v>2.1122083333333332</v>
      </c>
      <c r="D3" s="1">
        <f>[1]BOUSSIFET!$K$6</f>
        <v>2.0302638888888889</v>
      </c>
      <c r="E3" s="1">
        <f>[1]BOUSSIFET!$K$7</f>
        <v>2.0844305555555556</v>
      </c>
      <c r="F3" s="1">
        <f>[1]BOUSSIFET!$K$8</f>
        <v>2.0512757936507935</v>
      </c>
      <c r="G3" s="1">
        <f>[1]BOUSSIFET!$K$9</f>
        <v>2.0859980158730158</v>
      </c>
      <c r="H3" s="1">
        <f>[1]BOUSSIFET!$K$10</f>
        <v>2.1943313492063492</v>
      </c>
      <c r="I3" s="1">
        <f>[1]BOUSSIFET!$K$11</f>
        <v>2.1221091269841272</v>
      </c>
      <c r="J3" s="1">
        <f>[1]BOUSSIFET!$K$12</f>
        <v>1.4796488095238096</v>
      </c>
      <c r="K3" s="1"/>
      <c r="L3" s="1"/>
      <c r="M3" s="1"/>
      <c r="N3" s="1"/>
    </row>
    <row r="4" spans="1:14" x14ac:dyDescent="0.25">
      <c r="A4" t="s">
        <v>32</v>
      </c>
      <c r="B4" s="1" t="str">
        <f>[1]DEKLERCK!$F$2</f>
        <v xml:space="preserve"> </v>
      </c>
      <c r="C4" s="1">
        <f>[1]DEKLERCK!$K$5</f>
        <v>0.36874999999999997</v>
      </c>
      <c r="D4" s="1">
        <f>[1]DEKLERCK!$K$6</f>
        <v>0.45277777777777772</v>
      </c>
      <c r="E4" s="1">
        <f>[1]DEKLERCK!$K$7</f>
        <v>0.47569444444444442</v>
      </c>
      <c r="F4" s="1">
        <f>[1]DEKLERCK!$K$8</f>
        <v>0.44374999999999998</v>
      </c>
      <c r="G4" s="1">
        <f>[1]DEKLERCK!$K$9</f>
        <v>0.51736111111111105</v>
      </c>
      <c r="H4" s="1">
        <f>[1]DEKLERCK!$K$10</f>
        <v>0.62455808080808073</v>
      </c>
      <c r="I4" s="1">
        <f>[1]DEKLERCK!$K$11</f>
        <v>0.70511363636363633</v>
      </c>
      <c r="J4" s="1">
        <f>[1]DEKLERCK!$K$12</f>
        <v>0.77386363636363631</v>
      </c>
      <c r="K4" s="1"/>
      <c r="L4" s="1"/>
      <c r="M4" s="1"/>
      <c r="N4" s="1"/>
    </row>
    <row r="5" spans="1:14" x14ac:dyDescent="0.25">
      <c r="A5" t="s">
        <v>15</v>
      </c>
      <c r="B5" s="1" t="str">
        <f>[1]DELFORGE!$F$2</f>
        <v xml:space="preserve"> </v>
      </c>
      <c r="C5" s="1">
        <f>[1]DELFORGE!$K$5</f>
        <v>2.0722222222222224</v>
      </c>
      <c r="D5" s="1">
        <f>[1]DELFORGE!$K$6</f>
        <v>1.6361111111111113</v>
      </c>
      <c r="E5" s="1">
        <f>[1]DELFORGE!$K$7</f>
        <v>1.5250000000000001</v>
      </c>
      <c r="F5" s="1">
        <f>[1]DELFORGE!$K$8</f>
        <v>1.1159722222222224</v>
      </c>
      <c r="G5" s="1">
        <f>[1]DELFORGE!$K$9</f>
        <v>1.1145833333333335</v>
      </c>
      <c r="H5" s="1">
        <f>[1]DELFORGE!$K$10</f>
        <v>1.0923611111111113</v>
      </c>
      <c r="I5" s="1">
        <f>[1]DELFORGE!$K$11</f>
        <v>1.245138888888889</v>
      </c>
      <c r="J5" s="1">
        <f>[1]DELFORGE!$K$12</f>
        <v>1.5685515873015874</v>
      </c>
      <c r="K5" s="1"/>
      <c r="L5" s="1"/>
      <c r="M5" s="1"/>
      <c r="N5" s="1"/>
    </row>
    <row r="6" spans="1:14" x14ac:dyDescent="0.25">
      <c r="A6" t="s">
        <v>16</v>
      </c>
      <c r="B6" s="1" t="str">
        <f>[1]DEWEZ!$F$2</f>
        <v xml:space="preserve"> </v>
      </c>
      <c r="C6" s="1">
        <f>[1]DEWEZ!$K$5</f>
        <v>0.50277777777777777</v>
      </c>
      <c r="D6" s="1">
        <f>[1]DEWEZ!$K$6</f>
        <v>0.31944444444444442</v>
      </c>
      <c r="E6" s="1">
        <f>[1]DEWEZ!$K$7</f>
        <v>1.2166666666666668</v>
      </c>
      <c r="F6" s="1">
        <f>[1]DEWEZ!$K$8</f>
        <v>1.331388888888889</v>
      </c>
      <c r="G6" s="1">
        <f>[1]DEWEZ!$K$9</f>
        <v>1.0084722222222222</v>
      </c>
      <c r="H6" s="1">
        <f>[1]DEWEZ!$K$10</f>
        <v>1.18</v>
      </c>
      <c r="I6" s="1">
        <f>[1]DEWEZ!$K$11</f>
        <v>1.1397222222222223</v>
      </c>
      <c r="J6" s="1">
        <f>[1]DEWEZ!$K$12</f>
        <v>0.9976587301587303</v>
      </c>
      <c r="K6" s="1"/>
      <c r="L6" s="1"/>
      <c r="M6" s="1"/>
      <c r="N6" s="1"/>
    </row>
    <row r="7" spans="1:14" x14ac:dyDescent="0.25">
      <c r="A7" t="s">
        <v>18</v>
      </c>
      <c r="B7" s="1" t="str">
        <f>[1]DUCHENE!$F$2</f>
        <v xml:space="preserve"> </v>
      </c>
      <c r="C7" s="1">
        <f>[1]DUCHENE!$K$5</f>
        <v>0.94236111111111109</v>
      </c>
      <c r="D7" s="1">
        <f>[1]DUCHENE!$K$6</f>
        <v>1.179861111111111</v>
      </c>
      <c r="E7" s="1">
        <f>[1]DUCHENE!$K$7</f>
        <v>1.1381944444444443</v>
      </c>
      <c r="F7" s="1">
        <f>[1]DUCHENE!$K$8</f>
        <v>0.93902777777777757</v>
      </c>
      <c r="G7" s="1">
        <f>[1]DUCHENE!$K$9</f>
        <v>1.0765277777777775</v>
      </c>
      <c r="H7" s="1">
        <f>[1]DUCHENE!$K$10</f>
        <v>0.93530303030303008</v>
      </c>
      <c r="I7" s="1">
        <f>[1]DUCHENE!$K$11</f>
        <v>1.1443308080808079</v>
      </c>
      <c r="J7" s="1">
        <f>[1]DUCHENE!$K$12</f>
        <v>1.2943308080808078</v>
      </c>
      <c r="K7" s="1"/>
      <c r="L7" s="1"/>
      <c r="M7" s="1"/>
      <c r="N7" s="1"/>
    </row>
    <row r="8" spans="1:14" x14ac:dyDescent="0.25">
      <c r="A8" t="s">
        <v>35</v>
      </c>
      <c r="B8" s="1"/>
      <c r="C8" s="1">
        <f>[1]DURUISSEAU!$K$5</f>
        <v>0.25</v>
      </c>
      <c r="D8" s="1">
        <f>[1]DURUISSEAU!$K$6</f>
        <v>0.25486111111111109</v>
      </c>
      <c r="E8" s="1">
        <f>[1]DURUISSEAU!$K$7</f>
        <v>0.20555555555555555</v>
      </c>
      <c r="F8" s="1">
        <f>[1]DURUISSEAU!$K$8</f>
        <v>0.2472222222222222</v>
      </c>
      <c r="G8" s="1">
        <f>[1]DURUISSEAU!$K$9</f>
        <v>0.23402777777777775</v>
      </c>
      <c r="H8" s="1">
        <f>[1]DURUISSEAU!$K$10</f>
        <v>-2.4179292929292967E-2</v>
      </c>
      <c r="I8" s="1">
        <f>[1]DURUISSEAU!$K$11</f>
        <v>5.8459595959595906E-2</v>
      </c>
      <c r="J8" s="1">
        <f>[1]DURUISSEAU!$K$12</f>
        <v>0.1973484848484848</v>
      </c>
      <c r="K8" s="1"/>
      <c r="L8" s="1"/>
      <c r="M8" s="1"/>
      <c r="N8" s="1"/>
    </row>
    <row r="9" spans="1:14" x14ac:dyDescent="0.25">
      <c r="A9" t="s">
        <v>19</v>
      </c>
      <c r="B9" s="1" t="str">
        <f>[1]HEIRBRANT!$F$2</f>
        <v xml:space="preserve"> </v>
      </c>
      <c r="C9" s="1">
        <f>[1]HEIRBRANT!$K$5</f>
        <v>0.27732487922705329</v>
      </c>
      <c r="D9" s="1">
        <f>[1]HEIRBRANT!$K$6</f>
        <v>0.31968599033816442</v>
      </c>
      <c r="E9" s="1">
        <f>[1]HEIRBRANT!$K$7</f>
        <v>1.0495471014492757</v>
      </c>
      <c r="F9" s="1">
        <f>[1]HEIRBRANT!$K$8</f>
        <v>0.85232487922705347</v>
      </c>
      <c r="G9" s="1">
        <f>[1]HEIRBRANT!$K$9</f>
        <v>0.79954710144927565</v>
      </c>
      <c r="H9" s="1">
        <f>[1]HEIRBRANT!$K$10</f>
        <v>0.89468599033816454</v>
      </c>
      <c r="I9" s="1">
        <f>[1]HEIRBRANT!$K$11</f>
        <v>1.2953804347826088</v>
      </c>
      <c r="J9" s="1">
        <f>[1]HEIRBRANT!$K$12</f>
        <v>1.1203804347826087</v>
      </c>
      <c r="K9" s="1"/>
      <c r="L9" s="1"/>
      <c r="M9" s="1"/>
      <c r="N9" s="1"/>
    </row>
    <row r="10" spans="1:14" x14ac:dyDescent="0.25">
      <c r="A10" t="s">
        <v>20</v>
      </c>
      <c r="B10" s="1" t="str">
        <f>[1]INZERILLI!$F$2</f>
        <v xml:space="preserve"> </v>
      </c>
      <c r="C10" s="1">
        <f>[1]INZERILLI!$K$5</f>
        <v>2.92417100062409</v>
      </c>
      <c r="D10" s="1">
        <f>[1]INZERILLI!$K$6</f>
        <v>2.9991710006240897</v>
      </c>
      <c r="E10" s="1">
        <f>[1]INZERILLI!$K$7</f>
        <v>3.8811785763816657</v>
      </c>
      <c r="F10" s="1">
        <f>[1]INZERILLI!$K$8</f>
        <v>3.5562182589213482</v>
      </c>
      <c r="G10" s="1">
        <f>[1]INZERILLI!$K$9</f>
        <v>3.6214061674180802</v>
      </c>
      <c r="H10" s="1">
        <f>[1]INZERILLI!$K$10</f>
        <v>3.6867470765089894</v>
      </c>
      <c r="I10" s="1">
        <f>[1]INZERILLI!$K$11</f>
        <v>3.6589692987312117</v>
      </c>
      <c r="J10" s="1">
        <f>[1]INZERILLI!$K$12</f>
        <v>2.3256359653978782</v>
      </c>
      <c r="K10" s="1"/>
      <c r="L10" s="1"/>
      <c r="M10" s="1"/>
      <c r="N10" s="1"/>
    </row>
    <row r="11" spans="1:14" x14ac:dyDescent="0.25">
      <c r="A11" t="s">
        <v>21</v>
      </c>
      <c r="B11" s="1" t="str">
        <f>[1]JAMAR!$F$2</f>
        <v xml:space="preserve"> </v>
      </c>
      <c r="C11" s="1">
        <f>[1]JAMAR!$K$5</f>
        <v>0.45900824029771398</v>
      </c>
      <c r="D11" s="1">
        <f>[1]JAMAR!$K$6</f>
        <v>0.50275824029771399</v>
      </c>
      <c r="E11" s="1">
        <f>[1]JAMAR!$K$7</f>
        <v>0.83470268474215836</v>
      </c>
      <c r="F11" s="1">
        <f>[1]JAMAR!$K$8</f>
        <v>0.39996458950406311</v>
      </c>
      <c r="G11" s="1">
        <f>[1]JAMAR!$K$9</f>
        <v>0.50891556989622</v>
      </c>
      <c r="H11" s="1">
        <f>[1]JAMAR!$K$10</f>
        <v>0.31933223656288667</v>
      </c>
      <c r="I11" s="1">
        <f>[1]JAMAR!$K$11</f>
        <v>0.41693144291209305</v>
      </c>
      <c r="J11" s="1">
        <f>[1]JAMAR!$K$12</f>
        <v>0.3502647762454264</v>
      </c>
      <c r="K11" s="1"/>
      <c r="L11" s="1"/>
      <c r="M11" s="1"/>
      <c r="N11" s="1"/>
    </row>
    <row r="12" spans="1:14" x14ac:dyDescent="0.25">
      <c r="A12" t="s">
        <v>22</v>
      </c>
      <c r="B12" s="1" t="str">
        <f>[1]JAMART!$F$2</f>
        <v xml:space="preserve"> </v>
      </c>
      <c r="C12" s="1">
        <f>[1]JAMART!$K$5</f>
        <v>0.16571660685805426</v>
      </c>
      <c r="D12" s="1">
        <f>[1]JAMART!$K$6</f>
        <v>0.12682771796916537</v>
      </c>
      <c r="E12" s="1">
        <f>[1]JAMART!$K$7</f>
        <v>0.23885549574694315</v>
      </c>
      <c r="F12" s="1">
        <f>[1]JAMART!$K$8</f>
        <v>-5.9120694729247303E-2</v>
      </c>
      <c r="G12" s="1">
        <f>[1]JAMART!$K$9</f>
        <v>-0.14800794963120809</v>
      </c>
      <c r="H12" s="1">
        <f>[1]JAMART!$K$10</f>
        <v>-0.56475037387363236</v>
      </c>
      <c r="I12" s="1">
        <f>[1]JAMART!$K$11</f>
        <v>-0.4571710087942672</v>
      </c>
      <c r="J12" s="1">
        <f>[1]JAMART!$K$12</f>
        <v>-0.4571710087942672</v>
      </c>
      <c r="K12" s="1"/>
      <c r="L12" s="1"/>
      <c r="M12" s="1"/>
      <c r="N12" s="1"/>
    </row>
    <row r="13" spans="1:14" x14ac:dyDescent="0.25">
      <c r="A13" t="s">
        <v>29</v>
      </c>
      <c r="B13" s="1" t="str">
        <f>[1]KINIF!$F$2</f>
        <v xml:space="preserve"> </v>
      </c>
      <c r="C13" s="1">
        <f>[1]KINIF!$K$5</f>
        <v>1.7435227272727272</v>
      </c>
      <c r="D13" s="1">
        <f>[1]KINIF!$K$6</f>
        <v>1.8185227272727271</v>
      </c>
      <c r="E13" s="1">
        <f>[1]KINIF!$K$7</f>
        <v>1.8101893939393938</v>
      </c>
      <c r="F13" s="1">
        <f>[1]KINIF!$K$8</f>
        <v>1.9601893939393937</v>
      </c>
      <c r="G13" s="1">
        <f>[1]KINIF!$K$9</f>
        <v>1.9427302436125962</v>
      </c>
      <c r="H13" s="1">
        <f>[1]KINIF!$K$10</f>
        <v>2.1204575163398687</v>
      </c>
      <c r="I13" s="1">
        <f>[1]KINIF!$K$11</f>
        <v>1.6128186274509797</v>
      </c>
      <c r="J13" s="1">
        <f>[1]KINIF!$K$12</f>
        <v>1.2353900560224083</v>
      </c>
      <c r="K13" s="1"/>
      <c r="L13" s="1"/>
      <c r="M13" s="1"/>
      <c r="N13" s="1"/>
    </row>
    <row r="14" spans="1:14" x14ac:dyDescent="0.25">
      <c r="A14" t="s">
        <v>30</v>
      </c>
      <c r="B14" s="1" t="str">
        <f>[1]LABBE!$F$2</f>
        <v xml:space="preserve"> </v>
      </c>
      <c r="C14" s="1">
        <f>[1]LABBE!$K$5</f>
        <v>0.45000000000000007</v>
      </c>
      <c r="D14" s="1">
        <f>[1]LABBE!$K$6</f>
        <v>0.2680555555555556</v>
      </c>
      <c r="E14" s="1">
        <f>[1]LABBE!$K$7</f>
        <v>0.30972222222222223</v>
      </c>
      <c r="F14" s="1">
        <f>[1]LABBE!$K$8</f>
        <v>0.24305555555555558</v>
      </c>
      <c r="G14" s="1">
        <f>[1]LABBE!$K$9</f>
        <v>0.28472222222222221</v>
      </c>
      <c r="H14" s="1">
        <f>[1]LABBE!$K$10</f>
        <v>0.36805555555555558</v>
      </c>
      <c r="I14" s="1">
        <f>[1]LABBE!$K$11</f>
        <v>0.33640873015873018</v>
      </c>
      <c r="J14" s="1">
        <f>[1]LABBE!$K$12</f>
        <v>0.3575396825396826</v>
      </c>
      <c r="K14" s="1"/>
      <c r="L14" s="1"/>
      <c r="M14" s="1"/>
      <c r="N14" s="1"/>
    </row>
    <row r="15" spans="1:14" x14ac:dyDescent="0.25">
      <c r="A15" t="s">
        <v>23</v>
      </c>
      <c r="B15" s="1" t="str">
        <f>[1]LAMBERT!$F$2</f>
        <v xml:space="preserve"> </v>
      </c>
      <c r="C15" s="1">
        <f>[1]LAMBERT!$K$5</f>
        <v>0.54502952869657695</v>
      </c>
      <c r="D15" s="1">
        <f>[1]LAMBERT!$K$6</f>
        <v>0.37766841758546582</v>
      </c>
      <c r="E15" s="1">
        <f>[1]LAMBERT!$K$7</f>
        <v>1.2318350842521326</v>
      </c>
      <c r="F15" s="1">
        <f>[1]LAMBERT!$K$8</f>
        <v>1.2690374652045135</v>
      </c>
      <c r="G15" s="1">
        <f>[1]LAMBERT!$K$9</f>
        <v>1.362093020760069</v>
      </c>
      <c r="H15" s="1">
        <f>[1]LAMBERT!$K$10</f>
        <v>1.2565374652045134</v>
      </c>
      <c r="I15" s="1">
        <f>[1]LAMBERT!$K$11</f>
        <v>1.4433430207600688</v>
      </c>
      <c r="J15" s="1">
        <f>[1]LAMBERT!$K$12</f>
        <v>0.8375890525061005</v>
      </c>
      <c r="K15" s="1"/>
      <c r="L15" s="1"/>
      <c r="M15" s="1"/>
      <c r="N15" s="1"/>
    </row>
    <row r="16" spans="1:14" x14ac:dyDescent="0.25">
      <c r="A16" t="s">
        <v>24</v>
      </c>
      <c r="B16" s="1" t="str">
        <f>[1]LEMAITRE!$F$2</f>
        <v xml:space="preserve"> </v>
      </c>
      <c r="C16" s="1">
        <f>[1]LEMAITRE!$K$5</f>
        <v>0.31578282828282833</v>
      </c>
      <c r="D16" s="1">
        <f>[1]LEMAITRE!$K$6</f>
        <v>0.28244949494949501</v>
      </c>
      <c r="E16" s="1">
        <f>[1]LEMAITRE!$K$7</f>
        <v>0.67342171717171728</v>
      </c>
      <c r="F16" s="1">
        <f>[1]LEMAITRE!$K$8</f>
        <v>0.43592171717171729</v>
      </c>
      <c r="G16" s="1">
        <f>[1]LEMAITRE!$K$9</f>
        <v>0.43592171717171729</v>
      </c>
      <c r="H16" s="1">
        <f>[1]LEMAITRE!$K$10</f>
        <v>0.41508838383838398</v>
      </c>
      <c r="I16" s="1">
        <f>[1]LEMAITRE!$K$11</f>
        <v>0.35883838383838396</v>
      </c>
      <c r="J16" s="1">
        <f>[1]LEMAITRE!$K$12</f>
        <v>0.42619949494949505</v>
      </c>
      <c r="K16" s="1"/>
      <c r="L16" s="1"/>
      <c r="M16" s="1"/>
      <c r="N16" s="1"/>
    </row>
    <row r="17" spans="1:14" x14ac:dyDescent="0.25">
      <c r="A17" t="s">
        <v>36</v>
      </c>
      <c r="B17" s="1" t="str">
        <f>[1]LIEGEOIS!$F$2</f>
        <v xml:space="preserve"> </v>
      </c>
      <c r="C17" s="1">
        <f>[1]LIEGEOIS!$K$5</f>
        <v>1.5277777777778029E-2</v>
      </c>
      <c r="D17" s="1">
        <f>[1]LIEGEOIS!$K$6</f>
        <v>0.12361111111111137</v>
      </c>
      <c r="E17" s="1">
        <f>[1]LIEGEOIS!$K$7</f>
        <v>0.19469696969696995</v>
      </c>
      <c r="F17" s="1">
        <f>[1]LIEGEOIS!$K$8</f>
        <v>0.29678030303030328</v>
      </c>
      <c r="G17" s="1">
        <f>[1]LIEGEOIS!$K$9</f>
        <v>0.42178030303030328</v>
      </c>
      <c r="H17" s="1">
        <f>[1]LIEGEOIS!$K$10</f>
        <v>0.49747474747474774</v>
      </c>
      <c r="I17" s="1">
        <f>[1]LIEGEOIS!$K$11</f>
        <v>0.52525252525252553</v>
      </c>
      <c r="J17" s="1">
        <f>[1]LIEGEOIS!$K$12</f>
        <v>0.64955808080808108</v>
      </c>
      <c r="K17" s="1"/>
      <c r="L17" s="1"/>
      <c r="M17" s="1"/>
      <c r="N17" s="1"/>
    </row>
    <row r="18" spans="1:14" x14ac:dyDescent="0.25">
      <c r="A18" t="s">
        <v>25</v>
      </c>
      <c r="B18" s="1" t="str">
        <f>[1]MOSCATO!$F$2</f>
        <v xml:space="preserve"> </v>
      </c>
      <c r="C18" s="1">
        <f>[1]MOSCATO!$K$5</f>
        <v>0.65694444444444478</v>
      </c>
      <c r="D18" s="1">
        <f>[1]MOSCATO!$K$6</f>
        <v>0.68750000000000033</v>
      </c>
      <c r="E18" s="1">
        <f>[1]MOSCATO!$K$7</f>
        <v>1.6868055555555559</v>
      </c>
      <c r="F18" s="1">
        <f>[1]MOSCATO!$K$8</f>
        <v>2.0965277777777782</v>
      </c>
      <c r="G18" s="1">
        <f>[1]MOSCATO!$K$9</f>
        <v>1.7548611111111114</v>
      </c>
      <c r="H18" s="1">
        <f>[1]MOSCATO!$K$10</f>
        <v>1.8895833333333336</v>
      </c>
      <c r="I18" s="1">
        <f>[1]MOSCATO!$K$11</f>
        <v>2.0402777777777779</v>
      </c>
      <c r="J18" s="1">
        <f>[1]MOSCATO!$K$12</f>
        <v>2.8045634920634921</v>
      </c>
      <c r="K18" s="1"/>
      <c r="L18" s="1"/>
      <c r="M18" s="1"/>
      <c r="N18" s="1"/>
    </row>
    <row r="19" spans="1:14" x14ac:dyDescent="0.25">
      <c r="A19" t="s">
        <v>26</v>
      </c>
      <c r="B19" s="1" t="str">
        <f>[1]NEZER!$F$2</f>
        <v xml:space="preserve"> </v>
      </c>
      <c r="C19" s="1">
        <f>[1]NEZER!$K$5</f>
        <v>2.0516388888888888</v>
      </c>
      <c r="D19" s="1">
        <f>[1]NEZER!$K$6</f>
        <v>1.955111111111111</v>
      </c>
      <c r="E19" s="1">
        <f>[1]NEZER!$K$7</f>
        <v>2.7551111111111113</v>
      </c>
      <c r="F19" s="1">
        <f>[1]NEZER!$K$8</f>
        <v>2.5606666666666671</v>
      </c>
      <c r="G19" s="1">
        <f>[1]NEZER!$K$9</f>
        <v>2.7606666666666673</v>
      </c>
      <c r="H19" s="1">
        <f>[1]NEZER!$K$10</f>
        <v>2.283583333333334</v>
      </c>
      <c r="I19" s="1">
        <f>[1]NEZER!$K$11</f>
        <v>1.8676111111111118</v>
      </c>
      <c r="J19" s="1">
        <f>[1]NEZER!$K$12</f>
        <v>1.8810238095238101</v>
      </c>
      <c r="K19" s="1"/>
      <c r="L19" s="1"/>
      <c r="M19" s="1"/>
      <c r="N19" s="1"/>
    </row>
    <row r="20" spans="1:14" x14ac:dyDescent="0.25">
      <c r="A20" t="s">
        <v>27</v>
      </c>
      <c r="B20" s="1" t="str">
        <f>[1]PESESSE!$F$2</f>
        <v xml:space="preserve"> </v>
      </c>
      <c r="C20" s="1">
        <f>[1]PESESSE!$K$5</f>
        <v>0.52355545154057737</v>
      </c>
      <c r="D20" s="1">
        <f>[1]PESESSE!$K$6</f>
        <v>0.40549989598502179</v>
      </c>
      <c r="E20" s="1">
        <f>[1]PESESSE!$K$7</f>
        <v>0.59163625962138544</v>
      </c>
      <c r="F20" s="1">
        <f>[1]PESESSE!$K$8</f>
        <v>0.44086245009757596</v>
      </c>
      <c r="G20" s="1">
        <f>[1]PESESSE!$K$9</f>
        <v>0.28481669846358904</v>
      </c>
      <c r="H20" s="1">
        <f>[1]PESESSE!$K$10</f>
        <v>0.35779649644338701</v>
      </c>
      <c r="I20" s="1">
        <f>[1]PESESSE!$K$11</f>
        <v>0.40868935358624414</v>
      </c>
      <c r="J20" s="1">
        <f>[1]PESESSE!$K$12</f>
        <v>1.201844115491006</v>
      </c>
      <c r="K20" s="1"/>
      <c r="L20" s="1"/>
      <c r="M20" s="1"/>
      <c r="N20" s="1"/>
    </row>
    <row r="21" spans="1:14" x14ac:dyDescent="0.25">
      <c r="A21" t="s">
        <v>33</v>
      </c>
      <c r="B21" s="1" t="str">
        <f>[1]SEGHIAR!$F$2</f>
        <v xml:space="preserve"> </v>
      </c>
      <c r="C21" s="1">
        <f>[1]SEGHIAR!$K$5</f>
        <v>0.35624999999999996</v>
      </c>
      <c r="D21" s="1">
        <f>[1]SEGHIAR!$K$6</f>
        <v>0.37222222222222218</v>
      </c>
      <c r="E21" s="1">
        <f>[1]SEGHIAR!$K$7</f>
        <v>0.31755050505050497</v>
      </c>
      <c r="F21" s="1">
        <f>[1]SEGHIAR!$K$8</f>
        <v>0.2203679653679653</v>
      </c>
      <c r="G21" s="1">
        <f>[1]SEGHIAR!$K$9</f>
        <v>0.2203679653679653</v>
      </c>
      <c r="H21" s="1">
        <f>[1]SEGHIAR!$K$10</f>
        <v>0.2203679653679653</v>
      </c>
      <c r="I21" s="1">
        <f>[1]SEGHIAR!$K$11</f>
        <v>0.2203679653679653</v>
      </c>
      <c r="J21" s="1">
        <f>[1]SEGHIAR!$K$12</f>
        <v>0.18247113997113992</v>
      </c>
      <c r="K21" s="1"/>
      <c r="L21" s="1"/>
      <c r="M21" s="1"/>
      <c r="N21" s="1"/>
    </row>
    <row r="22" spans="1:14" x14ac:dyDescent="0.25">
      <c r="A22" t="s">
        <v>28</v>
      </c>
      <c r="B22" s="1" t="str">
        <f>[1]SUSAM!$F$2</f>
        <v xml:space="preserve"> </v>
      </c>
      <c r="C22" s="1">
        <f>[1]SUSAM!$K$5</f>
        <v>3.4743055555555555</v>
      </c>
      <c r="D22" s="1">
        <f>[1]SUSAM!$K$6</f>
        <v>1.8340277777777778</v>
      </c>
      <c r="E22" s="1">
        <f>[1]SUSAM!$K$7</f>
        <v>1.7347222222222223</v>
      </c>
      <c r="F22" s="1">
        <f>[1]SUSAM!$K$8</f>
        <v>2.0229166666666667</v>
      </c>
      <c r="G22" s="1">
        <f>[1]SUSAM!$K$9</f>
        <v>2.1479166666666667</v>
      </c>
      <c r="H22" s="1">
        <f>[1]SUSAM!$K$10</f>
        <v>2.3562500000000002</v>
      </c>
      <c r="I22" s="1">
        <f>[1]SUSAM!$K$11</f>
        <v>1.6562500000000002</v>
      </c>
      <c r="J22" s="1">
        <f>[1]SUSAM!$K$12</f>
        <v>1.7986111111111114</v>
      </c>
      <c r="K22" s="1"/>
      <c r="L22" s="1"/>
      <c r="M22" s="1"/>
      <c r="N22" s="1"/>
    </row>
    <row r="23" spans="1:14" x14ac:dyDescent="0.25">
      <c r="A23" t="s">
        <v>31</v>
      </c>
      <c r="B23" s="1" t="str">
        <f>[1]TIBEAU!$F$2</f>
        <v xml:space="preserve"> </v>
      </c>
      <c r="C23" s="1">
        <f>[1]TIBEAU!$K$5</f>
        <v>0.39374999999999993</v>
      </c>
      <c r="D23" s="1">
        <f>[1]TIBEAU!$K$6</f>
        <v>0.5659722222222221</v>
      </c>
      <c r="E23" s="1">
        <f>[1]TIBEAU!$K$7</f>
        <v>0.43446969696969684</v>
      </c>
      <c r="F23" s="1">
        <f>[1]TIBEAU!$K$8</f>
        <v>0.14141414141414133</v>
      </c>
      <c r="G23" s="1">
        <f>[1]TIBEAU!$K$9</f>
        <v>-0.10511363636363646</v>
      </c>
      <c r="H23" s="1">
        <f>[1]TIBEAU!$K$10</f>
        <v>-0.1599747474747476</v>
      </c>
      <c r="I23" s="1">
        <f>[1]TIBEAU!$K$11</f>
        <v>-0.16414141414141425</v>
      </c>
      <c r="J23" s="1">
        <f>[1]TIBEAU!$K$12</f>
        <v>-0.26681998556998565</v>
      </c>
      <c r="K23" s="1"/>
      <c r="L23" s="1"/>
      <c r="M23" s="1"/>
      <c r="N23" s="1"/>
    </row>
  </sheetData>
  <phoneticPr fontId="1" type="noConversion"/>
  <pageMargins left="0.7" right="0.7" top="0.75" bottom="0.75" header="0.3" footer="0.3"/>
  <ignoredErrors>
    <ignoredError sqref="C2 C17:C21 C3:C6 C22:C23 C7:C16" calculatedColumn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3876D2EFA434439C094FF2251913B9" ma:contentTypeVersion="12" ma:contentTypeDescription="Create a new document." ma:contentTypeScope="" ma:versionID="0a6b1418315c503125b81deceb3e14f0">
  <xsd:schema xmlns:xsd="http://www.w3.org/2001/XMLSchema" xmlns:xs="http://www.w3.org/2001/XMLSchema" xmlns:p="http://schemas.microsoft.com/office/2006/metadata/properties" xmlns:ns2="db3d71b0-92fa-400b-b303-110676c7e1a6" xmlns:ns3="d07ca0ec-5157-41b5-8d0f-93bd9610df36" targetNamespace="http://schemas.microsoft.com/office/2006/metadata/properties" ma:root="true" ma:fieldsID="b9cfce4172cb86f233e713e45f29f51c" ns2:_="" ns3:_="">
    <xsd:import namespace="db3d71b0-92fa-400b-b303-110676c7e1a6"/>
    <xsd:import namespace="d07ca0ec-5157-41b5-8d0f-93bd9610df3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lcf76f155ced4ddcb4097134ff3c332f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d71b0-92fa-400b-b303-110676c7e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ca0ec-5157-41b5-8d0f-93bd9610df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5648a96-cea2-4c1b-af13-24c66345d7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7ca0ec-5157-41b5-8d0f-93bd9610df3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A27A95-3717-46C0-8F53-2FF09BECAD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3d71b0-92fa-400b-b303-110676c7e1a6"/>
    <ds:schemaRef ds:uri="d07ca0ec-5157-41b5-8d0f-93bd9610df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162B4C-8036-4FD3-B02E-9FAB6E06A7E9}">
  <ds:schemaRefs>
    <ds:schemaRef ds:uri="http://schemas.microsoft.com/office/2006/metadata/properties"/>
    <ds:schemaRef ds:uri="http://schemas.microsoft.com/office/infopath/2007/PartnerControls"/>
    <ds:schemaRef ds:uri="d07ca0ec-5157-41b5-8d0f-93bd9610df36"/>
  </ds:schemaRefs>
</ds:datastoreItem>
</file>

<file path=customXml/itemProps3.xml><?xml version="1.0" encoding="utf-8"?>
<ds:datastoreItem xmlns:ds="http://schemas.openxmlformats.org/officeDocument/2006/customXml" ds:itemID="{3F5359EC-D85E-4EE8-994B-A84A3864389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456b5d2-d0ee-4225-910f-b53e3f31b6d6}" enabled="0" method="" siteId="{1456b5d2-d0ee-4225-910f-b53e3f31b6d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DEWEZ Bastien</dc:creator>
  <cp:lastModifiedBy>DEWEZ Bastien</cp:lastModifiedBy>
  <dcterms:created xsi:type="dcterms:W3CDTF">2015-06-05T18:19:34Z</dcterms:created>
  <dcterms:modified xsi:type="dcterms:W3CDTF">2026-09-02T12:28:00Z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0x0101003D3876D2EFA434439C094FF2251913B9</vt:lpwstr>
  </property>
  <property fmtid="{D5CDD505-2E9C-101B-9397-08002B2CF9AE}" pid="3" name="MediaServiceImageTags">
    <vt:lpwstr/>
  </property>
</Properties>
</file>