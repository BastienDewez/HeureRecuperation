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ate1904="1"/>
  <mc:AlternateContent xmlns:mc="http://schemas.openxmlformats.org/markup-compatibility/2006">
    <mc:Choice Requires="x15">
      <x15ac:absPath xmlns:x15ac="http://schemas.microsoft.com/office/spreadsheetml/2010/11/ac" url="https://fwb365.sharepoint.com/sites/CPM-Prestationloisir/Shared Documents/Prestations Loisirs/"/>
    </mc:Choice>
  </mc:AlternateContent>
  <xr:revisionPtr revIDLastSave="722" documentId="11_8BA3C09E2DF16CD648EA96253F05920B2FF8C28C" xr6:coauthVersionLast="47" xr6:coauthVersionMax="47" xr10:uidLastSave="{755A1F68-695C-4642-A205-205EF8B9A370}"/>
  <bookViews>
    <workbookView xWindow="22932" yWindow="-108" windowWidth="23256" windowHeight="12456" xr2:uid="{00000000-000D-0000-FFFF-FFFF00000000}"/>
  </bookViews>
  <sheets>
    <sheet name="2026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" i="1" l="1"/>
  <c r="H22" i="1"/>
  <c r="H15" i="1"/>
  <c r="H9" i="1"/>
  <c r="H4" i="1"/>
  <c r="H18" i="1" l="1"/>
  <c r="H23" i="1" l="1"/>
  <c r="H21" i="1"/>
  <c r="H20" i="1"/>
  <c r="H19" i="1"/>
  <c r="H17" i="1"/>
  <c r="H16" i="1"/>
  <c r="H14" i="1" l="1"/>
  <c r="H12" i="1"/>
  <c r="H11" i="1"/>
  <c r="H10" i="1"/>
  <c r="H8" i="1"/>
  <c r="H7" i="1"/>
  <c r="H6" i="1"/>
  <c r="H5" i="1"/>
  <c r="H3" i="1"/>
  <c r="H2" i="1"/>
  <c r="H13" i="1"/>
  <c r="G24" i="1" l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F15" i="1"/>
  <c r="F24" i="1" l="1"/>
  <c r="F22" i="1"/>
  <c r="F9" i="1"/>
  <c r="F6" i="1"/>
  <c r="F4" i="1"/>
  <c r="F21" i="1" l="1"/>
  <c r="F18" i="1"/>
  <c r="F17" i="1"/>
  <c r="F14" i="1"/>
  <c r="F11" i="1"/>
  <c r="F7" i="1"/>
  <c r="F23" i="1" l="1"/>
  <c r="F20" i="1"/>
  <c r="F19" i="1"/>
  <c r="F16" i="1"/>
  <c r="F12" i="1"/>
  <c r="F10" i="1"/>
  <c r="F8" i="1"/>
  <c r="F5" i="1"/>
  <c r="F3" i="1"/>
  <c r="F2" i="1"/>
  <c r="F13" i="1" l="1"/>
  <c r="D24" i="1" l="1"/>
  <c r="D22" i="1"/>
  <c r="D9" i="1"/>
  <c r="D6" i="1"/>
  <c r="D4" i="1"/>
  <c r="D15" i="1" l="1"/>
  <c r="D21" i="1" l="1"/>
  <c r="D18" i="1"/>
  <c r="D17" i="1"/>
  <c r="D11" i="1"/>
  <c r="D7" i="1"/>
  <c r="D23" i="1" l="1"/>
  <c r="D20" i="1"/>
  <c r="D19" i="1"/>
  <c r="D16" i="1"/>
  <c r="D12" i="1"/>
  <c r="D10" i="1"/>
  <c r="D8" i="1"/>
  <c r="D5" i="1"/>
  <c r="D3" i="1"/>
  <c r="D2" i="1"/>
  <c r="D13" i="1" l="1"/>
  <c r="C22" i="1" l="1"/>
  <c r="C9" i="1"/>
  <c r="C4" i="1"/>
  <c r="C24" i="1" l="1"/>
  <c r="C15" i="1"/>
  <c r="C23" i="1" l="1"/>
  <c r="C21" i="1"/>
  <c r="C20" i="1"/>
  <c r="C19" i="1"/>
  <c r="C18" i="1"/>
  <c r="C17" i="1"/>
  <c r="C16" i="1"/>
  <c r="C14" i="1"/>
  <c r="C12" i="1" l="1"/>
  <c r="C11" i="1"/>
  <c r="C10" i="1"/>
  <c r="C8" i="1"/>
  <c r="C7" i="1"/>
  <c r="C6" i="1"/>
  <c r="C5" i="1"/>
  <c r="C3" i="1"/>
  <c r="C2" i="1"/>
  <c r="C13" i="1" l="1"/>
  <c r="B24" i="1" l="1"/>
  <c r="B10" i="1"/>
  <c r="B11" i="1" l="1"/>
  <c r="B20" i="1"/>
  <c r="B15" i="1"/>
  <c r="B17" i="1"/>
  <c r="B22" i="1"/>
  <c r="B4" i="1"/>
  <c r="E24" i="1" l="1"/>
  <c r="E22" i="1"/>
  <c r="E9" i="1"/>
  <c r="E6" i="1"/>
  <c r="E4" i="1"/>
  <c r="B3" i="1"/>
  <c r="B2" i="1"/>
  <c r="E15" i="1" l="1"/>
  <c r="D14" i="1" l="1"/>
  <c r="E21" i="1" l="1"/>
  <c r="E18" i="1"/>
  <c r="E17" i="1"/>
  <c r="E14" i="1"/>
  <c r="E11" i="1"/>
  <c r="E7" i="1"/>
  <c r="E23" i="1" l="1"/>
  <c r="E20" i="1"/>
  <c r="E19" i="1"/>
  <c r="E16" i="1"/>
  <c r="E12" i="1"/>
  <c r="E10" i="1"/>
  <c r="E8" i="1"/>
  <c r="E5" i="1"/>
  <c r="E3" i="1"/>
  <c r="E2" i="1"/>
  <c r="E13" i="1" l="1"/>
  <c r="B23" i="1" l="1"/>
  <c r="B21" i="1"/>
  <c r="B19" i="1"/>
  <c r="B18" i="1"/>
  <c r="B16" i="1"/>
  <c r="B14" i="1" l="1"/>
  <c r="B13" i="1"/>
  <c r="B12" i="1"/>
  <c r="B8" i="1"/>
  <c r="B7" i="1"/>
  <c r="B6" i="1"/>
  <c r="B5" i="1"/>
</calcChain>
</file>

<file path=xl/sharedStrings.xml><?xml version="1.0" encoding="utf-8"?>
<sst xmlns="http://schemas.openxmlformats.org/spreadsheetml/2006/main" count="37" uniqueCount="37">
  <si>
    <t>Agent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</si>
  <si>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</si>
  <si>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</si>
  <si>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</si>
  <si>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</si>
  <si>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</si>
  <si>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</si>
  <si>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</si>
  <si>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</si>
  <si>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</si>
  <si>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</si>
  <si>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</si>
  <si>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</si>
  <si>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Becker Dylan</t>
  </si>
  <si>
    <t>Boussifet Gérard</t>
  </si>
  <si>
    <t>Delforge Jonathan</t>
  </si>
  <si>
    <t>Dewez Xavier</t>
  </si>
  <si>
    <t>Dirick Michel</t>
  </si>
  <si>
    <t>Duchene Michael</t>
  </si>
  <si>
    <t>Heirbrant Adrien</t>
  </si>
  <si>
    <t>Inzerilli Nicolo</t>
  </si>
  <si>
    <t>Jamar Benoit</t>
  </si>
  <si>
    <t>Jamart Daniel</t>
  </si>
  <si>
    <t>Lambert Emerick</t>
  </si>
  <si>
    <t>Lemaitre Morgand</t>
  </si>
  <si>
    <t>Liegeois Joell</t>
  </si>
  <si>
    <t>Moscato Victor</t>
  </si>
  <si>
    <t>Nezer Patrick</t>
  </si>
  <si>
    <t>Pesesse Nicolas</t>
  </si>
  <si>
    <t>Susam Ismail</t>
  </si>
  <si>
    <t>Kinif Joseph</t>
  </si>
  <si>
    <t>Labbé Lionel</t>
  </si>
  <si>
    <t>Tibeau Sébastien</t>
  </si>
  <si>
    <t>Deklerck Gaetan</t>
  </si>
  <si>
    <t>Seghiar Imrane</t>
  </si>
  <si>
    <t>Solde 31/08</t>
  </si>
  <si>
    <t>Duruisseau Antoine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</si>
</sst>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13"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wb365.sharepoint.com/sites/CPM-PrestationsAgentsCPM/Shared%20Documents/Prestations%20Agents%20CPM/CalculHeureLoisir.xlsx" TargetMode="External"/><Relationship Id="rId1" Type="http://schemas.openxmlformats.org/officeDocument/2006/relationships/externalLinkPath" Target="/sites/CPM-PrestationsAgentsCPM/Shared%20Documents/Prestations%20Agents%20CPM/CalculHeureLoisi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CART"/>
      <sheetName val="BECKER"/>
      <sheetName val="BOUSSIFET"/>
      <sheetName val="DEKLERCK"/>
      <sheetName val="DELFORGE"/>
      <sheetName val="DEWEZ"/>
      <sheetName val="DI CROCE"/>
      <sheetName val="DIRICK"/>
      <sheetName val="DUCHENE"/>
      <sheetName val="DURUISSEAU"/>
      <sheetName val="HEIRBRANT"/>
      <sheetName val="INZERILLI"/>
      <sheetName val="JAMAR"/>
      <sheetName val="JAMART"/>
      <sheetName val="KINIF"/>
      <sheetName val="LABBE"/>
      <sheetName val="LAMBERT"/>
      <sheetName val="LEMAITRE"/>
      <sheetName val="LEONARD"/>
      <sheetName val="LIEGEOIS"/>
      <sheetName val="MOSCATO"/>
      <sheetName val="NEZER"/>
      <sheetName val="PESESSE"/>
      <sheetName val="SEGHIAR"/>
      <sheetName val="SELLIERE"/>
      <sheetName val="SUSAM"/>
      <sheetName val="TIBEAU"/>
    </sheetNames>
    <sheetDataSet>
      <sheetData sheetId="0"/>
      <sheetData sheetId="1">
        <row r="2">
          <cell r="F2" t="str">
            <v xml:space="preserve"> </v>
          </cell>
        </row>
        <row r="5">
          <cell r="K5">
            <v>1.6583333333333339</v>
          </cell>
        </row>
        <row r="6">
          <cell r="K6">
            <v>1.769444444444445</v>
          </cell>
        </row>
        <row r="7">
          <cell r="K7">
            <v>2.3296717171717174</v>
          </cell>
        </row>
        <row r="8">
          <cell r="K8">
            <v>2.0859217171717175</v>
          </cell>
        </row>
        <row r="9">
          <cell r="K9">
            <v>1.4623106060606064</v>
          </cell>
        </row>
        <row r="10">
          <cell r="K10">
            <v>1.2900883838383841</v>
          </cell>
        </row>
      </sheetData>
      <sheetData sheetId="2">
        <row r="2">
          <cell r="F2">
            <v>1.0295694444444441</v>
          </cell>
        </row>
        <row r="5">
          <cell r="K5">
            <v>2.1122083333333332</v>
          </cell>
        </row>
        <row r="6">
          <cell r="K6">
            <v>2.0302638888888889</v>
          </cell>
        </row>
        <row r="7">
          <cell r="K7">
            <v>2.0844305555555556</v>
          </cell>
        </row>
        <row r="8">
          <cell r="K8">
            <v>2.0512757936507935</v>
          </cell>
        </row>
        <row r="9">
          <cell r="K9">
            <v>2.0859980158730158</v>
          </cell>
        </row>
        <row r="10">
          <cell r="K10">
            <v>2.1943313492063492</v>
          </cell>
        </row>
      </sheetData>
      <sheetData sheetId="3">
        <row r="2">
          <cell r="F2" t="str">
            <v xml:space="preserve"> </v>
          </cell>
        </row>
        <row r="5">
          <cell r="K5">
            <v>0.36874999999999997</v>
          </cell>
        </row>
        <row r="6">
          <cell r="K6">
            <v>0.45277777777777772</v>
          </cell>
        </row>
        <row r="7">
          <cell r="K7">
            <v>0.47569444444444442</v>
          </cell>
        </row>
        <row r="8">
          <cell r="K8">
            <v>0.44374999999999998</v>
          </cell>
        </row>
        <row r="9">
          <cell r="K9">
            <v>0.51736111111111105</v>
          </cell>
        </row>
        <row r="10">
          <cell r="K10">
            <v>0.61262626262626263</v>
          </cell>
        </row>
      </sheetData>
      <sheetData sheetId="4">
        <row r="2">
          <cell r="F2" t="str">
            <v xml:space="preserve"> </v>
          </cell>
        </row>
        <row r="5">
          <cell r="K5">
            <v>2.0722222222222224</v>
          </cell>
        </row>
        <row r="6">
          <cell r="K6">
            <v>1.6361111111111113</v>
          </cell>
        </row>
        <row r="7">
          <cell r="K7">
            <v>1.5250000000000001</v>
          </cell>
        </row>
        <row r="8">
          <cell r="K8">
            <v>1.1159722222222224</v>
          </cell>
        </row>
        <row r="9">
          <cell r="K9">
            <v>1.1145833333333335</v>
          </cell>
        </row>
        <row r="10">
          <cell r="K10">
            <v>1.0923611111111113</v>
          </cell>
        </row>
      </sheetData>
      <sheetData sheetId="5">
        <row r="2">
          <cell r="F2" t="str">
            <v xml:space="preserve"> </v>
          </cell>
        </row>
        <row r="5">
          <cell r="K5">
            <v>0.50277777777777777</v>
          </cell>
        </row>
        <row r="6">
          <cell r="K6">
            <v>0.31944444444444442</v>
          </cell>
        </row>
        <row r="7">
          <cell r="K7">
            <v>1.2166666666666668</v>
          </cell>
        </row>
        <row r="8">
          <cell r="K8">
            <v>1.331388888888889</v>
          </cell>
        </row>
        <row r="9">
          <cell r="K9">
            <v>1.0084722222222222</v>
          </cell>
        </row>
        <row r="10">
          <cell r="K10">
            <v>1.18</v>
          </cell>
        </row>
      </sheetData>
      <sheetData sheetId="6"/>
      <sheetData sheetId="7">
        <row r="2">
          <cell r="F2" t="str">
            <v xml:space="preserve"> </v>
          </cell>
        </row>
        <row r="5">
          <cell r="K5">
            <v>0.85437801932367174</v>
          </cell>
        </row>
        <row r="6">
          <cell r="K6">
            <v>0.71410024154589391</v>
          </cell>
        </row>
        <row r="7">
          <cell r="K7">
            <v>0.57937801932367172</v>
          </cell>
        </row>
        <row r="8">
          <cell r="K8">
            <v>0.60243357487922733</v>
          </cell>
        </row>
        <row r="9">
          <cell r="K9">
            <v>0.81285024154589403</v>
          </cell>
        </row>
        <row r="10">
          <cell r="K10">
            <v>0.88691589811155058</v>
          </cell>
        </row>
      </sheetData>
      <sheetData sheetId="8">
        <row r="2">
          <cell r="F2" t="str">
            <v xml:space="preserve"> </v>
          </cell>
        </row>
        <row r="5">
          <cell r="K5">
            <v>0.94236111111111109</v>
          </cell>
        </row>
        <row r="6">
          <cell r="K6">
            <v>1.1673611111111111</v>
          </cell>
        </row>
        <row r="7">
          <cell r="K7">
            <v>1.1256944444444443</v>
          </cell>
        </row>
        <row r="8">
          <cell r="K8">
            <v>0.92652777777777762</v>
          </cell>
        </row>
        <row r="9">
          <cell r="K9">
            <v>1.0640277777777776</v>
          </cell>
        </row>
        <row r="10">
          <cell r="K10">
            <v>0.92280303030303013</v>
          </cell>
        </row>
      </sheetData>
      <sheetData sheetId="9">
        <row r="5">
          <cell r="K5">
            <v>0.25</v>
          </cell>
        </row>
        <row r="6">
          <cell r="K6">
            <v>0.25486111111111109</v>
          </cell>
        </row>
        <row r="7">
          <cell r="K7">
            <v>0.20555555555555555</v>
          </cell>
        </row>
        <row r="8">
          <cell r="K8">
            <v>0.2472222222222222</v>
          </cell>
        </row>
        <row r="9">
          <cell r="K9">
            <v>0.22005718954248363</v>
          </cell>
        </row>
        <row r="10">
          <cell r="K10">
            <v>-6.1319073083779013E-2</v>
          </cell>
        </row>
      </sheetData>
      <sheetData sheetId="10">
        <row r="2">
          <cell r="F2" t="str">
            <v xml:space="preserve"> </v>
          </cell>
        </row>
        <row r="5">
          <cell r="K5">
            <v>0.27732487922705329</v>
          </cell>
        </row>
        <row r="6">
          <cell r="K6">
            <v>0.31968599033816442</v>
          </cell>
        </row>
        <row r="7">
          <cell r="K7">
            <v>0.21621376811594217</v>
          </cell>
        </row>
        <row r="8">
          <cell r="K8">
            <v>1.899154589371993E-2</v>
          </cell>
        </row>
        <row r="9">
          <cell r="K9">
            <v>-3.4480676328502269E-2</v>
          </cell>
        </row>
        <row r="10">
          <cell r="K10">
            <v>-0.11901350461133056</v>
          </cell>
        </row>
      </sheetData>
      <sheetData sheetId="11">
        <row r="2">
          <cell r="F2">
            <v>1.5026432228463118</v>
          </cell>
        </row>
        <row r="5">
          <cell r="K5">
            <v>2.92417100062409</v>
          </cell>
        </row>
        <row r="6">
          <cell r="K6">
            <v>2.9991710006240897</v>
          </cell>
        </row>
        <row r="7">
          <cell r="K7">
            <v>3.8811785763816657</v>
          </cell>
        </row>
        <row r="8">
          <cell r="K8">
            <v>3.5562182589213482</v>
          </cell>
        </row>
        <row r="9">
          <cell r="K9">
            <v>3.6214061674180802</v>
          </cell>
        </row>
        <row r="10">
          <cell r="K10">
            <v>3.6867470765089894</v>
          </cell>
        </row>
      </sheetData>
      <sheetData sheetId="12">
        <row r="2">
          <cell r="F2" t="str">
            <v xml:space="preserve"> </v>
          </cell>
        </row>
        <row r="5">
          <cell r="K5">
            <v>0.45900824029771398</v>
          </cell>
        </row>
        <row r="6">
          <cell r="K6">
            <v>0.50275824029771399</v>
          </cell>
        </row>
        <row r="7">
          <cell r="K7">
            <v>0.83470268474215836</v>
          </cell>
        </row>
        <row r="8">
          <cell r="K8">
            <v>0.39996458950406311</v>
          </cell>
        </row>
        <row r="9">
          <cell r="K9">
            <v>0.50891556989622</v>
          </cell>
        </row>
        <row r="10">
          <cell r="K10">
            <v>0.29578678201743214</v>
          </cell>
        </row>
      </sheetData>
      <sheetData sheetId="13">
        <row r="2">
          <cell r="F2" t="str">
            <v xml:space="preserve"> </v>
          </cell>
        </row>
        <row r="5">
          <cell r="K5">
            <v>0.16571660685805426</v>
          </cell>
        </row>
        <row r="6">
          <cell r="K6">
            <v>0.12682771796916537</v>
          </cell>
        </row>
        <row r="7">
          <cell r="K7">
            <v>0.23885549574694315</v>
          </cell>
        </row>
        <row r="8">
          <cell r="K8">
            <v>-5.9120694729247303E-2</v>
          </cell>
        </row>
        <row r="9">
          <cell r="K9">
            <v>-0.14800794963120809</v>
          </cell>
        </row>
        <row r="10">
          <cell r="K10">
            <v>-0.68048269710595555</v>
          </cell>
        </row>
      </sheetData>
      <sheetData sheetId="14">
        <row r="2">
          <cell r="F2">
            <v>1.0969949494949494</v>
          </cell>
        </row>
        <row r="5">
          <cell r="K5">
            <v>1.7435227272727272</v>
          </cell>
        </row>
        <row r="6">
          <cell r="K6">
            <v>1.8185227272727271</v>
          </cell>
        </row>
        <row r="7">
          <cell r="K7">
            <v>1.8101893939393938</v>
          </cell>
        </row>
        <row r="8">
          <cell r="K8">
            <v>1.9601893939393937</v>
          </cell>
        </row>
        <row r="9">
          <cell r="K9">
            <v>1.9427302436125962</v>
          </cell>
        </row>
        <row r="10">
          <cell r="K10">
            <v>2.1204575163398687</v>
          </cell>
        </row>
      </sheetData>
      <sheetData sheetId="15">
        <row r="2">
          <cell r="F2" t="str">
            <v xml:space="preserve"> </v>
          </cell>
        </row>
        <row r="5">
          <cell r="K5">
            <v>0.45000000000000007</v>
          </cell>
        </row>
        <row r="6">
          <cell r="K6">
            <v>0.2680555555555556</v>
          </cell>
        </row>
        <row r="7">
          <cell r="K7">
            <v>0.30972222222222223</v>
          </cell>
        </row>
        <row r="8">
          <cell r="K8">
            <v>0.24305555555555558</v>
          </cell>
        </row>
        <row r="9">
          <cell r="K9">
            <v>0.28472222222222221</v>
          </cell>
        </row>
        <row r="10">
          <cell r="K10">
            <v>0.36805555555555558</v>
          </cell>
        </row>
      </sheetData>
      <sheetData sheetId="16">
        <row r="2">
          <cell r="F2" t="str">
            <v xml:space="preserve"> </v>
          </cell>
        </row>
        <row r="5">
          <cell r="K5">
            <v>0.53252952869657688</v>
          </cell>
        </row>
        <row r="6">
          <cell r="K6">
            <v>0.15544619536324361</v>
          </cell>
        </row>
        <row r="7">
          <cell r="K7">
            <v>1.0096128620299103</v>
          </cell>
        </row>
        <row r="8">
          <cell r="K8">
            <v>1.0468152429822912</v>
          </cell>
        </row>
        <row r="9">
          <cell r="K9">
            <v>1.1256060926554938</v>
          </cell>
        </row>
        <row r="10">
          <cell r="K10">
            <v>0.8603283148777161</v>
          </cell>
        </row>
      </sheetData>
      <sheetData sheetId="17">
        <row r="2">
          <cell r="F2" t="str">
            <v xml:space="preserve"> </v>
          </cell>
        </row>
        <row r="5">
          <cell r="K5">
            <v>0.31578282828282833</v>
          </cell>
        </row>
        <row r="6">
          <cell r="K6">
            <v>0.28244949494949501</v>
          </cell>
        </row>
        <row r="7">
          <cell r="K7">
            <v>0.67342171717171728</v>
          </cell>
        </row>
        <row r="8">
          <cell r="K8">
            <v>0.43592171717171729</v>
          </cell>
        </row>
        <row r="9">
          <cell r="K9">
            <v>0.43592171717171729</v>
          </cell>
        </row>
        <row r="10">
          <cell r="K10">
            <v>0.41508838383838398</v>
          </cell>
        </row>
      </sheetData>
      <sheetData sheetId="18"/>
      <sheetData sheetId="19">
        <row r="2">
          <cell r="F2" t="str">
            <v xml:space="preserve"> </v>
          </cell>
        </row>
        <row r="5">
          <cell r="K5">
            <v>1.5277777777778029E-2</v>
          </cell>
        </row>
        <row r="6">
          <cell r="K6">
            <v>0.11736111111111136</v>
          </cell>
        </row>
        <row r="7">
          <cell r="K7">
            <v>0.17651515151515176</v>
          </cell>
        </row>
        <row r="8">
          <cell r="K8">
            <v>0.2785984848484851</v>
          </cell>
        </row>
        <row r="9">
          <cell r="K9">
            <v>0.4035984848484851</v>
          </cell>
        </row>
        <row r="10">
          <cell r="K10">
            <v>0.47029671717171739</v>
          </cell>
        </row>
      </sheetData>
      <sheetData sheetId="20">
        <row r="2">
          <cell r="F2" t="str">
            <v xml:space="preserve"> </v>
          </cell>
        </row>
        <row r="5">
          <cell r="K5">
            <v>0.65694444444444478</v>
          </cell>
        </row>
        <row r="6">
          <cell r="K6">
            <v>0.68750000000000033</v>
          </cell>
        </row>
        <row r="7">
          <cell r="K7">
            <v>1.6868055555555559</v>
          </cell>
        </row>
        <row r="8">
          <cell r="K8">
            <v>2.0965277777777782</v>
          </cell>
        </row>
        <row r="9">
          <cell r="K9">
            <v>1.7548611111111114</v>
          </cell>
        </row>
        <row r="10">
          <cell r="K10">
            <v>1.8787878787878791</v>
          </cell>
        </row>
      </sheetData>
      <sheetData sheetId="21">
        <row r="2">
          <cell r="F2">
            <v>7.8888888888886122E-3</v>
          </cell>
        </row>
        <row r="5">
          <cell r="K5">
            <v>2.0516388888888888</v>
          </cell>
        </row>
        <row r="6">
          <cell r="K6">
            <v>1.955111111111111</v>
          </cell>
        </row>
        <row r="7">
          <cell r="K7">
            <v>2.7551111111111113</v>
          </cell>
        </row>
        <row r="8">
          <cell r="K8">
            <v>2.5606666666666671</v>
          </cell>
        </row>
        <row r="9">
          <cell r="K9">
            <v>2.7606666666666673</v>
          </cell>
        </row>
        <row r="10">
          <cell r="K10">
            <v>2.283583333333334</v>
          </cell>
        </row>
      </sheetData>
      <sheetData sheetId="22">
        <row r="2">
          <cell r="F2" t="str">
            <v xml:space="preserve"> </v>
          </cell>
        </row>
        <row r="5">
          <cell r="K5">
            <v>0.52355545154057737</v>
          </cell>
        </row>
        <row r="6">
          <cell r="K6">
            <v>0.40549989598502179</v>
          </cell>
        </row>
        <row r="7">
          <cell r="K7">
            <v>0.59163625962138544</v>
          </cell>
        </row>
        <row r="8">
          <cell r="K8">
            <v>0.44086245009757596</v>
          </cell>
        </row>
        <row r="9">
          <cell r="K9">
            <v>0.28481669846358904</v>
          </cell>
        </row>
        <row r="10">
          <cell r="K10">
            <v>0.35779649644338701</v>
          </cell>
        </row>
      </sheetData>
      <sheetData sheetId="23">
        <row r="2">
          <cell r="F2" t="str">
            <v xml:space="preserve"> </v>
          </cell>
        </row>
        <row r="5">
          <cell r="K5">
            <v>0.35624999999999996</v>
          </cell>
        </row>
        <row r="6">
          <cell r="K6">
            <v>0.37222222222222218</v>
          </cell>
        </row>
        <row r="7">
          <cell r="K7">
            <v>0.31755050505050497</v>
          </cell>
        </row>
        <row r="8">
          <cell r="K8">
            <v>0.2203679653679653</v>
          </cell>
        </row>
        <row r="9">
          <cell r="K9">
            <v>0.2203679653679653</v>
          </cell>
        </row>
        <row r="10">
          <cell r="K10">
            <v>0.2203679653679653</v>
          </cell>
        </row>
      </sheetData>
      <sheetData sheetId="24"/>
      <sheetData sheetId="25">
        <row r="2">
          <cell r="F2">
            <v>0.65000000000000036</v>
          </cell>
        </row>
        <row r="5">
          <cell r="K5">
            <v>3.4743055555555555</v>
          </cell>
        </row>
        <row r="6">
          <cell r="K6">
            <v>1.8340277777777778</v>
          </cell>
        </row>
        <row r="7">
          <cell r="K7">
            <v>1.7347222222222223</v>
          </cell>
        </row>
        <row r="8">
          <cell r="K8">
            <v>2.0229166666666667</v>
          </cell>
        </row>
        <row r="9">
          <cell r="K9">
            <v>2.1479166666666667</v>
          </cell>
        </row>
        <row r="10">
          <cell r="K10">
            <v>2.2972222222222221</v>
          </cell>
        </row>
      </sheetData>
      <sheetData sheetId="26">
        <row r="2">
          <cell r="F2" t="str">
            <v xml:space="preserve"> </v>
          </cell>
        </row>
        <row r="5">
          <cell r="K5">
            <v>0.39374999999999993</v>
          </cell>
        </row>
        <row r="6">
          <cell r="K6">
            <v>0.5659722222222221</v>
          </cell>
        </row>
        <row r="7">
          <cell r="K7">
            <v>0.43446969696969684</v>
          </cell>
        </row>
        <row r="8">
          <cell r="K8">
            <v>0.14141414141414133</v>
          </cell>
        </row>
        <row r="9">
          <cell r="K9">
            <v>-0.10511363636363646</v>
          </cell>
        </row>
        <row r="10">
          <cell r="K10">
            <v>-3.0303030303031608E-3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300799-99B8-4EB6-AE56-6C90EDB091F8}" name="Tableau1" displayName="Tableau1" ref="A1:N24" totalsRowShown="0">
  <autoFilter ref="A1:N24" xr:uid="{C7300799-99B8-4EB6-AE56-6C90EDB091F8}"/>
  <sortState xmlns:xlrd2="http://schemas.microsoft.com/office/spreadsheetml/2017/richdata2" ref="A2:N24">
    <sortCondition ref="A1:A24"/>
  </sortState>
  <tableColumns count="14">
    <tableColumn id="1" xr3:uid="{404799F8-EF23-44D1-82C6-A022BF0100EC}" name="Agent"/>
    <tableColumn id="2" xr3:uid="{CA1AE1FC-3B06-4FE4-B14C-2062768FF719}" name="Solde 31/08" dataDxfId="12"/>
    <tableColumn id="7" xr3:uid="{E374D505-F3A4-4A54-B661-7A811C5C6CF0}" name="Janvier" dataDxfId="11">
      <calculatedColumnFormula>[1]ANCART!$K$5</calculatedColumnFormula>
    </tableColumn>
    <tableColumn id="8" xr3:uid="{9D8E114C-EE46-411F-8DB7-F007D2820209}" name="Février" dataDxfId="10"/>
    <tableColumn id="5" xr3:uid="{944F841B-7157-43A7-BBF4-EE37DB90304B}" name="Mars" dataDxfId="9"/>
    <tableColumn id="6" xr3:uid="{D6979E67-6E41-4D87-8E2F-C77EC9B86F1C}" name="Avril" dataDxfId="8"/>
    <tableColumn id="4" xr3:uid="{73890115-5FC3-4C52-9738-5535D8C89AA6}" name="Mai" dataDxfId="7"/>
    <tableColumn id="3" xr3:uid="{C3AD0FE6-38FB-4AF2-A2FC-CD8C6AF1D34A}" name="Juin" dataDxfId="6"/>
    <tableColumn id="9" xr3:uid="{2CF88554-1C99-48F6-A58C-B366489DC66A}" name="Juillet" dataDxfId="5"/>
    <tableColumn id="10" xr3:uid="{92839190-8610-4DAD-9F46-735A99F92CBC}" name="Août" dataDxfId="4"/>
    <tableColumn id="11" xr3:uid="{29BF599E-3D07-4D08-9AF4-0E200B9474AF}" name="Septembre" dataDxfId="3"/>
    <tableColumn id="12" xr3:uid="{69B209A5-8270-436F-A131-3A88CE5DD18E}" name="Octobre" dataDxfId="2"/>
    <tableColumn id="13" xr3:uid="{5495805F-AD9C-4F16-87DB-C13BD64B4392}" name="Novembre" dataDxfId="1"/>
    <tableColumn id="14" xr3:uid="{4BC933CC-966E-4C7C-A940-6828309FC481}" name="Décembr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tabSelected="1" zoomScale="130" zoomScaleNormal="130" workbookViewId="0">
      <selection activeCell="H2" sqref="H2"/>
    </sheetView>
  </sheetViews>
  <sheetFormatPr baseColWidth="10" defaultColWidth="9.140625" defaultRowHeight="15" x14ac:dyDescent="0.25"/>
  <cols>
    <col min="1" max="1" width="23.140625" bestFit="1" customWidth="1"/>
    <col min="2" max="2" width="13.5703125" bestFit="1" customWidth="1"/>
    <col min="3" max="4" width="9.5703125" bestFit="1" customWidth="1"/>
    <col min="5" max="5" width="7.7109375" bestFit="1" customWidth="1"/>
    <col min="6" max="6" width="7.42578125" bestFit="1" customWidth="1"/>
    <col min="7" max="7" width="6.7109375" bestFit="1" customWidth="1"/>
    <col min="8" max="8" width="6.85546875" bestFit="1" customWidth="1"/>
    <col min="9" max="9" width="8.7109375" bestFit="1" customWidth="1"/>
    <col min="10" max="10" width="7.5703125" bestFit="1" customWidth="1"/>
    <col min="11" max="11" width="13.140625" bestFit="1" customWidth="1"/>
    <col min="12" max="12" width="10.42578125" bestFit="1" customWidth="1"/>
    <col min="13" max="13" width="12.7109375" bestFit="1" customWidth="1"/>
    <col min="14" max="14" width="12.42578125" bestFit="1" customWidth="1"/>
  </cols>
  <sheetData>
    <row r="1" spans="1:14" x14ac:dyDescent="0.25">
      <c r="A1" t="s">
        <v>0</v>
      </c>
      <c r="B1" t="s">
        <v>35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25">
      <c r="A2" t="s">
        <v>13</v>
      </c>
      <c r="B2" s="1" t="str">
        <f>[1]BECKER!$F$2</f>
        <v xml:space="preserve"> </v>
      </c>
      <c r="C2" s="1">
        <f>[1]BECKER!$K$5</f>
        <v>1.6583333333333339</v>
      </c>
      <c r="D2" s="1">
        <f>[1]BECKER!$K$6</f>
        <v>1.769444444444445</v>
      </c>
      <c r="E2" s="1">
        <f>[1]BECKER!$K$7</f>
        <v>2.3296717171717174</v>
      </c>
      <c r="F2" s="1">
        <f>[1]BECKER!$K$8</f>
        <v>2.0859217171717175</v>
      </c>
      <c r="G2" s="1">
        <f>[1]BECKER!$K$9</f>
        <v>1.4623106060606064</v>
      </c>
      <c r="H2" s="1">
        <f>[1]BECKER!$K$10</f>
        <v>1.2900883838383841</v>
      </c>
      <c r="I2" s="1"/>
      <c r="J2" s="1"/>
      <c r="K2" s="1"/>
      <c r="L2" s="1"/>
      <c r="M2" s="1"/>
      <c r="N2" s="1"/>
    </row>
    <row r="3" spans="1:14" x14ac:dyDescent="0.25">
      <c r="A3" t="s">
        <v>14</v>
      </c>
      <c r="B3" s="1">
        <f>[1]BOUSSIFET!$F$2</f>
        <v>1.0295694444444441</v>
      </c>
      <c r="C3" s="1">
        <f>[1]BOUSSIFET!$K$5</f>
        <v>2.1122083333333332</v>
      </c>
      <c r="D3" s="1">
        <f>[1]BOUSSIFET!$K$6</f>
        <v>2.0302638888888889</v>
      </c>
      <c r="E3" s="1">
        <f>[1]BOUSSIFET!$K$7</f>
        <v>2.0844305555555556</v>
      </c>
      <c r="F3" s="1">
        <f>[1]BOUSSIFET!$K$8</f>
        <v>2.0512757936507935</v>
      </c>
      <c r="G3" s="1">
        <f>[1]BOUSSIFET!$K$9</f>
        <v>2.0859980158730158</v>
      </c>
      <c r="H3" s="1">
        <f>[1]BOUSSIFET!$K$10</f>
        <v>2.1943313492063492</v>
      </c>
      <c r="I3" s="1"/>
      <c r="J3" s="1"/>
      <c r="K3" s="1"/>
      <c r="L3" s="1"/>
      <c r="M3" s="1"/>
      <c r="N3" s="1"/>
    </row>
    <row r="4" spans="1:14" x14ac:dyDescent="0.25">
      <c r="A4" t="s">
        <v>33</v>
      </c>
      <c r="B4" s="1" t="str">
        <f>[1]DEKLERCK!$F$2</f>
        <v xml:space="preserve"> </v>
      </c>
      <c r="C4" s="1">
        <f>[1]DEKLERCK!$K$5</f>
        <v>0.36874999999999997</v>
      </c>
      <c r="D4" s="1">
        <f>[1]DEKLERCK!$K$6</f>
        <v>0.45277777777777772</v>
      </c>
      <c r="E4" s="1">
        <f>[1]DEKLERCK!$K$7</f>
        <v>0.47569444444444442</v>
      </c>
      <c r="F4" s="1">
        <f>[1]DEKLERCK!$K$8</f>
        <v>0.44374999999999998</v>
      </c>
      <c r="G4" s="1">
        <f>[1]DEKLERCK!$K$9</f>
        <v>0.51736111111111105</v>
      </c>
      <c r="H4" s="1">
        <f>[1]DEKLERCK!$K$10</f>
        <v>0.61262626262626263</v>
      </c>
      <c r="I4" s="1"/>
      <c r="J4" s="1"/>
      <c r="K4" s="1"/>
      <c r="L4" s="1"/>
      <c r="M4" s="1"/>
      <c r="N4" s="1"/>
    </row>
    <row r="5" spans="1:14" x14ac:dyDescent="0.25">
      <c r="A5" t="s">
        <v>15</v>
      </c>
      <c r="B5" s="1" t="str">
        <f>[1]DELFORGE!$F$2</f>
        <v xml:space="preserve"> </v>
      </c>
      <c r="C5" s="1">
        <f>[1]DELFORGE!$K$5</f>
        <v>2.0722222222222224</v>
      </c>
      <c r="D5" s="1">
        <f>[1]DELFORGE!$K$6</f>
        <v>1.6361111111111113</v>
      </c>
      <c r="E5" s="1">
        <f>[1]DELFORGE!$K$7</f>
        <v>1.5250000000000001</v>
      </c>
      <c r="F5" s="1">
        <f>[1]DELFORGE!$K$8</f>
        <v>1.1159722222222224</v>
      </c>
      <c r="G5" s="1">
        <f>[1]DELFORGE!$K$9</f>
        <v>1.1145833333333335</v>
      </c>
      <c r="H5" s="1">
        <f>[1]DELFORGE!$K$10</f>
        <v>1.0923611111111113</v>
      </c>
      <c r="I5" s="1"/>
      <c r="J5" s="1"/>
      <c r="K5" s="1"/>
      <c r="L5" s="1"/>
      <c r="M5" s="1"/>
      <c r="N5" s="1"/>
    </row>
    <row r="6" spans="1:14" x14ac:dyDescent="0.25">
      <c r="A6" t="s">
        <v>16</v>
      </c>
      <c r="B6" s="1" t="str">
        <f>[1]DEWEZ!$F$2</f>
        <v xml:space="preserve"> </v>
      </c>
      <c r="C6" s="1">
        <f>[1]DEWEZ!$K$5</f>
        <v>0.50277777777777777</v>
      </c>
      <c r="D6" s="1">
        <f>[1]DEWEZ!$K$6</f>
        <v>0.31944444444444442</v>
      </c>
      <c r="E6" s="1">
        <f>[1]DEWEZ!$K$7</f>
        <v>1.2166666666666668</v>
      </c>
      <c r="F6" s="1">
        <f>[1]DEWEZ!$K$8</f>
        <v>1.331388888888889</v>
      </c>
      <c r="G6" s="1">
        <f>[1]DEWEZ!$K$9</f>
        <v>1.0084722222222222</v>
      </c>
      <c r="H6" s="1">
        <f>[1]DEWEZ!$K$10</f>
        <v>1.18</v>
      </c>
      <c r="I6" s="1"/>
      <c r="J6" s="1"/>
      <c r="K6" s="1"/>
      <c r="L6" s="1"/>
      <c r="M6" s="1"/>
      <c r="N6" s="1"/>
    </row>
    <row r="7" spans="1:14" x14ac:dyDescent="0.25">
      <c r="A7" t="s">
        <v>17</v>
      </c>
      <c r="B7" s="1" t="str">
        <f>[1]DIRICK!$F$2</f>
        <v xml:space="preserve"> </v>
      </c>
      <c r="C7" s="1">
        <f>[1]DIRICK!$K$5</f>
        <v>0.85437801932367174</v>
      </c>
      <c r="D7" s="1">
        <f>[1]DIRICK!$K$6</f>
        <v>0.71410024154589391</v>
      </c>
      <c r="E7" s="1">
        <f>[1]DIRICK!$K$7</f>
        <v>0.57937801932367172</v>
      </c>
      <c r="F7" s="1">
        <f>[1]DIRICK!$K$8</f>
        <v>0.60243357487922733</v>
      </c>
      <c r="G7" s="1">
        <f>[1]DIRICK!$K$9</f>
        <v>0.81285024154589403</v>
      </c>
      <c r="H7" s="1">
        <f>[1]DIRICK!$K$10</f>
        <v>0.88691589811155058</v>
      </c>
      <c r="I7" s="1"/>
      <c r="J7" s="1"/>
      <c r="K7" s="1"/>
      <c r="L7" s="1"/>
      <c r="M7" s="1"/>
      <c r="N7" s="1"/>
    </row>
    <row r="8" spans="1:14" x14ac:dyDescent="0.25">
      <c r="A8" t="s">
        <v>18</v>
      </c>
      <c r="B8" s="1" t="str">
        <f>[1]DUCHENE!$F$2</f>
        <v xml:space="preserve"> </v>
      </c>
      <c r="C8" s="1">
        <f>[1]DUCHENE!$K$5</f>
        <v>0.94236111111111109</v>
      </c>
      <c r="D8" s="1">
        <f>[1]DUCHENE!$K$6</f>
        <v>1.1673611111111111</v>
      </c>
      <c r="E8" s="1">
        <f>[1]DUCHENE!$K$7</f>
        <v>1.1256944444444443</v>
      </c>
      <c r="F8" s="1">
        <f>[1]DUCHENE!$K$8</f>
        <v>0.92652777777777762</v>
      </c>
      <c r="G8" s="1">
        <f>[1]DUCHENE!$K$9</f>
        <v>1.0640277777777776</v>
      </c>
      <c r="H8" s="1">
        <f>[1]DUCHENE!$K$10</f>
        <v>0.92280303030303013</v>
      </c>
      <c r="I8" s="1"/>
      <c r="J8" s="1"/>
      <c r="K8" s="1"/>
      <c r="L8" s="1"/>
      <c r="M8" s="1"/>
      <c r="N8" s="1"/>
    </row>
    <row r="9" spans="1:14" x14ac:dyDescent="0.25">
      <c r="A9" t="s">
        <v>36</v>
      </c>
      <c r="B9" s="1"/>
      <c r="C9" s="1">
        <f>[1]DURUISSEAU!$K$5</f>
        <v>0.25</v>
      </c>
      <c r="D9" s="1">
        <f>[1]DURUISSEAU!$K$6</f>
        <v>0.25486111111111109</v>
      </c>
      <c r="E9" s="1">
        <f>[1]DURUISSEAU!$K$7</f>
        <v>0.20555555555555555</v>
      </c>
      <c r="F9" s="1">
        <f>[1]DURUISSEAU!$K$8</f>
        <v>0.2472222222222222</v>
      </c>
      <c r="G9" s="1">
        <f>[1]DURUISSEAU!$K$9</f>
        <v>0.22005718954248363</v>
      </c>
      <c r="H9" s="1">
        <f>[1]DURUISSEAU!$K$10</f>
        <v>-6.1319073083779013E-2</v>
      </c>
      <c r="I9" s="1"/>
      <c r="J9" s="1"/>
      <c r="K9" s="1"/>
      <c r="L9" s="1"/>
      <c r="M9" s="1"/>
      <c r="N9" s="1"/>
    </row>
    <row r="10" spans="1:14" x14ac:dyDescent="0.25">
      <c r="A10" t="s">
        <v>19</v>
      </c>
      <c r="B10" s="1" t="str">
        <f>[1]HEIRBRANT!$F$2</f>
        <v xml:space="preserve"> </v>
      </c>
      <c r="C10" s="1">
        <f>[1]HEIRBRANT!$K$5</f>
        <v>0.27732487922705329</v>
      </c>
      <c r="D10" s="1">
        <f>[1]HEIRBRANT!$K$6</f>
        <v>0.31968599033816442</v>
      </c>
      <c r="E10" s="1">
        <f>[1]HEIRBRANT!$K$7</f>
        <v>0.21621376811594217</v>
      </c>
      <c r="F10" s="1">
        <f>[1]HEIRBRANT!$K$8</f>
        <v>1.899154589371993E-2</v>
      </c>
      <c r="G10" s="1">
        <f>[1]HEIRBRANT!$K$9</f>
        <v>-3.4480676328502269E-2</v>
      </c>
      <c r="H10" s="1">
        <f>[1]HEIRBRANT!$K$10</f>
        <v>-0.11901350461133056</v>
      </c>
      <c r="I10" s="1"/>
      <c r="J10" s="1"/>
      <c r="K10" s="1"/>
      <c r="L10" s="1"/>
      <c r="M10" s="1"/>
      <c r="N10" s="1"/>
    </row>
    <row r="11" spans="1:14" x14ac:dyDescent="0.25">
      <c r="A11" t="s">
        <v>20</v>
      </c>
      <c r="B11" s="1">
        <f>[1]INZERILLI!$F$2</f>
        <v>1.5026432228463118</v>
      </c>
      <c r="C11" s="1">
        <f>[1]INZERILLI!$K$5</f>
        <v>2.92417100062409</v>
      </c>
      <c r="D11" s="1">
        <f>[1]INZERILLI!$K$6</f>
        <v>2.9991710006240897</v>
      </c>
      <c r="E11" s="1">
        <f>[1]INZERILLI!$K$7</f>
        <v>3.8811785763816657</v>
      </c>
      <c r="F11" s="1">
        <f>[1]INZERILLI!$K$8</f>
        <v>3.5562182589213482</v>
      </c>
      <c r="G11" s="1">
        <f>[1]INZERILLI!$K$9</f>
        <v>3.6214061674180802</v>
      </c>
      <c r="H11" s="1">
        <f>[1]INZERILLI!$K$10</f>
        <v>3.6867470765089894</v>
      </c>
      <c r="I11" s="1"/>
      <c r="J11" s="1"/>
      <c r="K11" s="1"/>
      <c r="L11" s="1"/>
      <c r="M11" s="1"/>
      <c r="N11" s="1"/>
    </row>
    <row r="12" spans="1:14" x14ac:dyDescent="0.25">
      <c r="A12" t="s">
        <v>21</v>
      </c>
      <c r="B12" s="1" t="str">
        <f>[1]JAMAR!$F$2</f>
        <v xml:space="preserve"> </v>
      </c>
      <c r="C12" s="1">
        <f>[1]JAMAR!$K$5</f>
        <v>0.45900824029771398</v>
      </c>
      <c r="D12" s="1">
        <f>[1]JAMAR!$K$6</f>
        <v>0.50275824029771399</v>
      </c>
      <c r="E12" s="1">
        <f>[1]JAMAR!$K$7</f>
        <v>0.83470268474215836</v>
      </c>
      <c r="F12" s="1">
        <f>[1]JAMAR!$K$8</f>
        <v>0.39996458950406311</v>
      </c>
      <c r="G12" s="1">
        <f>[1]JAMAR!$K$9</f>
        <v>0.50891556989622</v>
      </c>
      <c r="H12" s="1">
        <f>[1]JAMAR!$K$10</f>
        <v>0.29578678201743214</v>
      </c>
      <c r="I12" s="1"/>
      <c r="J12" s="1"/>
      <c r="K12" s="1"/>
      <c r="L12" s="1"/>
      <c r="M12" s="1"/>
      <c r="N12" s="1"/>
    </row>
    <row r="13" spans="1:14" x14ac:dyDescent="0.25">
      <c r="A13" t="s">
        <v>22</v>
      </c>
      <c r="B13" s="1" t="str">
        <f>[1]JAMART!$F$2</f>
        <v xml:space="preserve"> </v>
      </c>
      <c r="C13" s="1">
        <f>[1]JAMART!$K$5</f>
        <v>0.16571660685805426</v>
      </c>
      <c r="D13" s="1">
        <f>[1]JAMART!$K$6</f>
        <v>0.12682771796916537</v>
      </c>
      <c r="E13" s="1">
        <f>[1]JAMART!$K$7</f>
        <v>0.23885549574694315</v>
      </c>
      <c r="F13" s="1">
        <f>[1]JAMART!$K$8</f>
        <v>-5.9120694729247303E-2</v>
      </c>
      <c r="G13" s="1">
        <f>[1]JAMART!$K$9</f>
        <v>-0.14800794963120809</v>
      </c>
      <c r="H13" s="1">
        <f>[1]JAMART!$K$10</f>
        <v>-0.68048269710595555</v>
      </c>
      <c r="I13" s="1"/>
      <c r="J13" s="1"/>
      <c r="K13" s="1"/>
      <c r="L13" s="1"/>
      <c r="M13" s="1"/>
      <c r="N13" s="1"/>
    </row>
    <row r="14" spans="1:14" x14ac:dyDescent="0.25">
      <c r="A14" t="s">
        <v>30</v>
      </c>
      <c r="B14" s="1">
        <f>[1]KINIF!$F$2</f>
        <v>1.0969949494949494</v>
      </c>
      <c r="C14" s="1">
        <f>[1]KINIF!$K$5</f>
        <v>1.7435227272727272</v>
      </c>
      <c r="D14" s="1">
        <f>[1]KINIF!$K$6</f>
        <v>1.8185227272727271</v>
      </c>
      <c r="E14" s="1">
        <f>[1]KINIF!$K$7</f>
        <v>1.8101893939393938</v>
      </c>
      <c r="F14" s="1">
        <f>[1]KINIF!$K$8</f>
        <v>1.9601893939393937</v>
      </c>
      <c r="G14" s="1">
        <f>[1]KINIF!$K$9</f>
        <v>1.9427302436125962</v>
      </c>
      <c r="H14" s="1">
        <f>[1]KINIF!$K$10</f>
        <v>2.1204575163398687</v>
      </c>
      <c r="I14" s="1"/>
      <c r="J14" s="1"/>
      <c r="K14" s="1"/>
      <c r="L14" s="1"/>
      <c r="M14" s="1"/>
      <c r="N14" s="1"/>
    </row>
    <row r="15" spans="1:14" x14ac:dyDescent="0.25">
      <c r="A15" t="s">
        <v>31</v>
      </c>
      <c r="B15" s="1" t="str">
        <f>[1]LABBE!$F$2</f>
        <v xml:space="preserve"> </v>
      </c>
      <c r="C15" s="1">
        <f>[1]LABBE!$K$5</f>
        <v>0.45000000000000007</v>
      </c>
      <c r="D15" s="1">
        <f>[1]LABBE!$K$6</f>
        <v>0.2680555555555556</v>
      </c>
      <c r="E15" s="1">
        <f>[1]LABBE!$K$7</f>
        <v>0.30972222222222223</v>
      </c>
      <c r="F15" s="1">
        <f>[1]LABBE!$K$8</f>
        <v>0.24305555555555558</v>
      </c>
      <c r="G15" s="1">
        <f>[1]LABBE!$K$9</f>
        <v>0.28472222222222221</v>
      </c>
      <c r="H15" s="1">
        <f>[1]LABBE!$K$10</f>
        <v>0.36805555555555558</v>
      </c>
      <c r="I15" s="1"/>
      <c r="J15" s="1"/>
      <c r="K15" s="1"/>
      <c r="L15" s="1"/>
      <c r="M15" s="1"/>
      <c r="N15" s="1"/>
    </row>
    <row r="16" spans="1:14" x14ac:dyDescent="0.25">
      <c r="A16" t="s">
        <v>23</v>
      </c>
      <c r="B16" s="1" t="str">
        <f>[1]LAMBERT!$F$2</f>
        <v xml:space="preserve"> </v>
      </c>
      <c r="C16" s="1">
        <f>[1]LAMBERT!$K$5</f>
        <v>0.53252952869657688</v>
      </c>
      <c r="D16" s="1">
        <f>[1]LAMBERT!$K$6</f>
        <v>0.15544619536324361</v>
      </c>
      <c r="E16" s="1">
        <f>[1]LAMBERT!$K$7</f>
        <v>1.0096128620299103</v>
      </c>
      <c r="F16" s="1">
        <f>[1]LAMBERT!$K$8</f>
        <v>1.0468152429822912</v>
      </c>
      <c r="G16" s="1">
        <f>[1]LAMBERT!$K$9</f>
        <v>1.1256060926554938</v>
      </c>
      <c r="H16" s="1">
        <f>[1]LAMBERT!$K$10</f>
        <v>0.8603283148777161</v>
      </c>
      <c r="I16" s="1"/>
      <c r="J16" s="1"/>
      <c r="K16" s="1"/>
      <c r="L16" s="1"/>
      <c r="M16" s="1"/>
      <c r="N16" s="1"/>
    </row>
    <row r="17" spans="1:14" x14ac:dyDescent="0.25">
      <c r="A17" t="s">
        <v>24</v>
      </c>
      <c r="B17" s="1" t="str">
        <f>[1]LEMAITRE!$F$2</f>
        <v xml:space="preserve"> </v>
      </c>
      <c r="C17" s="1">
        <f>[1]LEMAITRE!$K$5</f>
        <v>0.31578282828282833</v>
      </c>
      <c r="D17" s="1">
        <f>[1]LEMAITRE!$K$6</f>
        <v>0.28244949494949501</v>
      </c>
      <c r="E17" s="1">
        <f>[1]LEMAITRE!$K$7</f>
        <v>0.67342171717171728</v>
      </c>
      <c r="F17" s="1">
        <f>[1]LEMAITRE!$K$8</f>
        <v>0.43592171717171729</v>
      </c>
      <c r="G17" s="1">
        <f>[1]LEMAITRE!$K$9</f>
        <v>0.43592171717171729</v>
      </c>
      <c r="H17" s="1">
        <f>[1]LEMAITRE!$K$10</f>
        <v>0.41508838383838398</v>
      </c>
      <c r="I17" s="1"/>
      <c r="J17" s="1"/>
      <c r="K17" s="1"/>
      <c r="L17" s="1"/>
      <c r="M17" s="1"/>
      <c r="N17" s="1"/>
    </row>
    <row r="18" spans="1:14" x14ac:dyDescent="0.25">
      <c r="A18" t="s">
        <v>25</v>
      </c>
      <c r="B18" s="1" t="str">
        <f>[1]LIEGEOIS!$F$2</f>
        <v xml:space="preserve"> </v>
      </c>
      <c r="C18" s="1">
        <f>[1]LIEGEOIS!$K$5</f>
        <v>1.5277777777778029E-2</v>
      </c>
      <c r="D18" s="1">
        <f>[1]LIEGEOIS!$K$6</f>
        <v>0.11736111111111136</v>
      </c>
      <c r="E18" s="1">
        <f>[1]LIEGEOIS!$K$7</f>
        <v>0.17651515151515176</v>
      </c>
      <c r="F18" s="1">
        <f>[1]LIEGEOIS!$K$8</f>
        <v>0.2785984848484851</v>
      </c>
      <c r="G18" s="1">
        <f>[1]LIEGEOIS!$K$9</f>
        <v>0.4035984848484851</v>
      </c>
      <c r="H18" s="1">
        <f>[1]LIEGEOIS!$K$10</f>
        <v>0.47029671717171739</v>
      </c>
      <c r="I18" s="1"/>
      <c r="J18" s="1"/>
      <c r="K18" s="1"/>
      <c r="L18" s="1"/>
      <c r="M18" s="1"/>
      <c r="N18" s="1"/>
    </row>
    <row r="19" spans="1:14" x14ac:dyDescent="0.25">
      <c r="A19" t="s">
        <v>26</v>
      </c>
      <c r="B19" s="1" t="str">
        <f>[1]MOSCATO!$F$2</f>
        <v xml:space="preserve"> </v>
      </c>
      <c r="C19" s="1">
        <f>[1]MOSCATO!$K$5</f>
        <v>0.65694444444444478</v>
      </c>
      <c r="D19" s="1">
        <f>[1]MOSCATO!$K$6</f>
        <v>0.68750000000000033</v>
      </c>
      <c r="E19" s="1">
        <f>[1]MOSCATO!$K$7</f>
        <v>1.6868055555555559</v>
      </c>
      <c r="F19" s="1">
        <f>[1]MOSCATO!$K$8</f>
        <v>2.0965277777777782</v>
      </c>
      <c r="G19" s="1">
        <f>[1]MOSCATO!$K$9</f>
        <v>1.7548611111111114</v>
      </c>
      <c r="H19" s="1">
        <f>[1]MOSCATO!$K$10</f>
        <v>1.8787878787878791</v>
      </c>
      <c r="I19" s="1"/>
      <c r="J19" s="1"/>
      <c r="K19" s="1"/>
      <c r="L19" s="1"/>
      <c r="M19" s="1"/>
      <c r="N19" s="1"/>
    </row>
    <row r="20" spans="1:14" x14ac:dyDescent="0.25">
      <c r="A20" t="s">
        <v>27</v>
      </c>
      <c r="B20" s="1">
        <f>[1]NEZER!$F$2</f>
        <v>7.8888888888886122E-3</v>
      </c>
      <c r="C20" s="1">
        <f>[1]NEZER!$K$5</f>
        <v>2.0516388888888888</v>
      </c>
      <c r="D20" s="1">
        <f>[1]NEZER!$K$6</f>
        <v>1.955111111111111</v>
      </c>
      <c r="E20" s="1">
        <f>[1]NEZER!$K$7</f>
        <v>2.7551111111111113</v>
      </c>
      <c r="F20" s="1">
        <f>[1]NEZER!$K$8</f>
        <v>2.5606666666666671</v>
      </c>
      <c r="G20" s="1">
        <f>[1]NEZER!$K$9</f>
        <v>2.7606666666666673</v>
      </c>
      <c r="H20" s="1">
        <f>[1]NEZER!$K$10</f>
        <v>2.283583333333334</v>
      </c>
      <c r="I20" s="1"/>
      <c r="J20" s="1"/>
      <c r="K20" s="1"/>
      <c r="L20" s="1"/>
      <c r="M20" s="1"/>
      <c r="N20" s="1"/>
    </row>
    <row r="21" spans="1:14" x14ac:dyDescent="0.25">
      <c r="A21" t="s">
        <v>28</v>
      </c>
      <c r="B21" s="1" t="str">
        <f>[1]PESESSE!$F$2</f>
        <v xml:space="preserve"> </v>
      </c>
      <c r="C21" s="1">
        <f>[1]PESESSE!$K$5</f>
        <v>0.52355545154057737</v>
      </c>
      <c r="D21" s="1">
        <f>[1]PESESSE!$K$6</f>
        <v>0.40549989598502179</v>
      </c>
      <c r="E21" s="1">
        <f>[1]PESESSE!$K$7</f>
        <v>0.59163625962138544</v>
      </c>
      <c r="F21" s="1">
        <f>[1]PESESSE!$K$8</f>
        <v>0.44086245009757596</v>
      </c>
      <c r="G21" s="1">
        <f>[1]PESESSE!$K$9</f>
        <v>0.28481669846358904</v>
      </c>
      <c r="H21" s="1">
        <f>[1]PESESSE!$K$10</f>
        <v>0.35779649644338701</v>
      </c>
      <c r="I21" s="1"/>
      <c r="J21" s="1"/>
      <c r="K21" s="1"/>
      <c r="L21" s="1"/>
      <c r="M21" s="1"/>
      <c r="N21" s="1"/>
    </row>
    <row r="22" spans="1:14" x14ac:dyDescent="0.25">
      <c r="A22" t="s">
        <v>34</v>
      </c>
      <c r="B22" s="1" t="str">
        <f>[1]SEGHIAR!$F$2</f>
        <v xml:space="preserve"> </v>
      </c>
      <c r="C22" s="1">
        <f>[1]SEGHIAR!$K$5</f>
        <v>0.35624999999999996</v>
      </c>
      <c r="D22" s="1">
        <f>[1]SEGHIAR!$K$6</f>
        <v>0.37222222222222218</v>
      </c>
      <c r="E22" s="1">
        <f>[1]SEGHIAR!$K$7</f>
        <v>0.31755050505050497</v>
      </c>
      <c r="F22" s="1">
        <f>[1]SEGHIAR!$K$8</f>
        <v>0.2203679653679653</v>
      </c>
      <c r="G22" s="1">
        <f>[1]SEGHIAR!$K$9</f>
        <v>0.2203679653679653</v>
      </c>
      <c r="H22" s="1">
        <f>[1]SEGHIAR!$K$10</f>
        <v>0.2203679653679653</v>
      </c>
      <c r="I22" s="1"/>
      <c r="J22" s="1"/>
      <c r="K22" s="1"/>
      <c r="L22" s="1"/>
      <c r="M22" s="1"/>
      <c r="N22" s="1"/>
    </row>
    <row r="23" spans="1:14" x14ac:dyDescent="0.25">
      <c r="A23" t="s">
        <v>29</v>
      </c>
      <c r="B23" s="1">
        <f>[1]SUSAM!$F$2</f>
        <v>0.65000000000000036</v>
      </c>
      <c r="C23" s="1">
        <f>[1]SUSAM!$K$5</f>
        <v>3.4743055555555555</v>
      </c>
      <c r="D23" s="1">
        <f>[1]SUSAM!$K$6</f>
        <v>1.8340277777777778</v>
      </c>
      <c r="E23" s="1">
        <f>[1]SUSAM!$K$7</f>
        <v>1.7347222222222223</v>
      </c>
      <c r="F23" s="1">
        <f>[1]SUSAM!$K$8</f>
        <v>2.0229166666666667</v>
      </c>
      <c r="G23" s="1">
        <f>[1]SUSAM!$K$9</f>
        <v>2.1479166666666667</v>
      </c>
      <c r="H23" s="1">
        <f>[1]SUSAM!$K$10</f>
        <v>2.2972222222222221</v>
      </c>
      <c r="I23" s="1"/>
      <c r="J23" s="1"/>
      <c r="K23" s="1"/>
      <c r="L23" s="1"/>
      <c r="M23" s="1"/>
      <c r="N23" s="1"/>
    </row>
    <row r="24" spans="1:14" x14ac:dyDescent="0.25">
      <c r="A24" t="s">
        <v>32</v>
      </c>
      <c r="B24" s="1" t="str">
        <f>[1]TIBEAU!$F$2</f>
        <v xml:space="preserve"> </v>
      </c>
      <c r="C24" s="1">
        <f>[1]TIBEAU!$K$5</f>
        <v>0.39374999999999993</v>
      </c>
      <c r="D24" s="1">
        <f>[1]TIBEAU!$K$6</f>
        <v>0.5659722222222221</v>
      </c>
      <c r="E24" s="1">
        <f>[1]TIBEAU!$K$7</f>
        <v>0.43446969696969684</v>
      </c>
      <c r="F24" s="1">
        <f>[1]TIBEAU!$K$8</f>
        <v>0.14141414141414133</v>
      </c>
      <c r="G24" s="1">
        <f>[1]TIBEAU!$K$9</f>
        <v>-0.10511363636363646</v>
      </c>
      <c r="H24" s="1">
        <f>[1]TIBEAU!$K$10</f>
        <v>-3.0303030303031608E-3</v>
      </c>
      <c r="I24" s="1"/>
      <c r="J24" s="1"/>
      <c r="K24" s="1"/>
      <c r="L24" s="1"/>
      <c r="M24" s="1"/>
      <c r="N24" s="1"/>
    </row>
  </sheetData>
  <phoneticPr fontId="1" type="noConversion"/>
  <pageMargins left="0.7" right="0.7" top="0.75" bottom="0.75" header="0.3" footer="0.3"/>
  <ignoredErrors>
    <ignoredError sqref="C2 C18:C22 C3:C17 C23:C24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07ca0ec-5157-41b5-8d0f-93bd9610df3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3876D2EFA434439C094FF2251913B9" ma:contentTypeVersion="12" ma:contentTypeDescription="Create a new document." ma:contentTypeScope="" ma:versionID="0a6b1418315c503125b81deceb3e14f0">
  <xsd:schema xmlns:xsd="http://www.w3.org/2001/XMLSchema" xmlns:xs="http://www.w3.org/2001/XMLSchema" xmlns:p="http://schemas.microsoft.com/office/2006/metadata/properties" xmlns:ns2="db3d71b0-92fa-400b-b303-110676c7e1a6" xmlns:ns3="d07ca0ec-5157-41b5-8d0f-93bd9610df36" targetNamespace="http://schemas.microsoft.com/office/2006/metadata/properties" ma:root="true" ma:fieldsID="b9cfce4172cb86f233e713e45f29f51c" ns2:_="" ns3:_="">
    <xsd:import namespace="db3d71b0-92fa-400b-b303-110676c7e1a6"/>
    <xsd:import namespace="d07ca0ec-5157-41b5-8d0f-93bd9610df36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lcf76f155ced4ddcb4097134ff3c332f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3d71b0-92fa-400b-b303-110676c7e1a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ca0ec-5157-41b5-8d0f-93bd9610df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f5648a96-cea2-4c1b-af13-24c66345d7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F5359EC-D85E-4EE8-994B-A84A3864389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3162B4C-8036-4FD3-B02E-9FAB6E06A7E9}">
  <ds:schemaRefs>
    <ds:schemaRef ds:uri="http://schemas.microsoft.com/office/2006/metadata/properties"/>
    <ds:schemaRef ds:uri="http://schemas.microsoft.com/office/infopath/2007/PartnerControls"/>
    <ds:schemaRef ds:uri="d07ca0ec-5157-41b5-8d0f-93bd9610df36"/>
  </ds:schemaRefs>
</ds:datastoreItem>
</file>

<file path=customXml/itemProps3.xml><?xml version="1.0" encoding="utf-8"?>
<ds:datastoreItem xmlns:ds="http://schemas.openxmlformats.org/officeDocument/2006/customXml" ds:itemID="{85A27A95-3717-46C0-8F53-2FF09BECAD9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b3d71b0-92fa-400b-b303-110676c7e1a6"/>
    <ds:schemaRef ds:uri="d07ca0ec-5157-41b5-8d0f-93bd9610df3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DEWEZ Bastien</dc:creator>
  <cp:lastModifiedBy>DEWEZ Bastien</cp:lastModifiedBy>
  <dcterms:created xsi:type="dcterms:W3CDTF">2015-06-05T18:19:34Z</dcterms:created>
  <dcterms:modified xsi:type="dcterms:W3CDTF">2026-07-27T08:28:06Z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0x0101003D3876D2EFA434439C094FF2251913B9</vt:lpwstr>
  </property>
  <property fmtid="{D5CDD505-2E9C-101B-9397-08002B2CF9AE}" pid="3" name="MediaServiceImageTags">
    <vt:lpwstr/>
  </property>
</Properties>
</file>