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/>
  <mc:AlternateContent xmlns:mc="http://schemas.openxmlformats.org/markup-compatibility/2006">
    <mc:Choice Requires="x15">
      <x15ac:absPath xmlns:x15ac="http://schemas.microsoft.com/office/spreadsheetml/2010/11/ac" url="https://fwb365.sharepoint.com/sites/CPM-PrestationsAgentsCPM/Shared Documents/Prestations Agents CPM/"/>
    </mc:Choice>
  </mc:AlternateContent>
  <xr:revisionPtr revIDLastSave="580" documentId="11_8BA3C09E2DF16CD648EA96253F05920B2FF8C28C" xr6:coauthVersionLast="47" xr6:coauthVersionMax="47" xr10:uidLastSave="{6AF96442-F85F-409C-845E-36631E1C00A4}"/>
  <bookViews>
    <workbookView xWindow="22932" yWindow="-108" windowWidth="23256" windowHeight="12456" xr2:uid="{00000000-000D-0000-FFFF-FFFF00000000}"/>
  </bookViews>
  <sheets>
    <sheet name="2026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1" l="1"/>
  <c r="G21" i="1" l="1"/>
  <c r="G19" i="1"/>
  <c r="G17" i="1"/>
  <c r="G15" i="1"/>
  <c r="G13" i="1"/>
  <c r="G12" i="1"/>
  <c r="G9" i="1"/>
  <c r="G8" i="1"/>
  <c r="G7" i="1"/>
  <c r="G6" i="1"/>
  <c r="G5" i="1"/>
  <c r="G4" i="1"/>
  <c r="G2" i="1"/>
  <c r="F4" i="1"/>
  <c r="D7" i="1"/>
  <c r="C7" i="1"/>
  <c r="E21" i="1"/>
  <c r="E17" i="1"/>
  <c r="E16" i="1"/>
  <c r="E15" i="1"/>
  <c r="E13" i="1"/>
  <c r="E12" i="1"/>
  <c r="E11" i="1"/>
  <c r="E9" i="1"/>
  <c r="E6" i="1"/>
  <c r="E4" i="1"/>
  <c r="E3" i="1"/>
  <c r="D21" i="1"/>
  <c r="D20" i="1"/>
  <c r="D19" i="1"/>
  <c r="D18" i="1"/>
  <c r="D17" i="1"/>
  <c r="D16" i="1"/>
  <c r="D15" i="1"/>
  <c r="D13" i="1"/>
  <c r="D12" i="1"/>
  <c r="D11" i="1"/>
  <c r="D9" i="1"/>
  <c r="D6" i="1"/>
  <c r="D5" i="1"/>
  <c r="D4" i="1"/>
  <c r="D3" i="1"/>
  <c r="D2" i="1"/>
  <c r="C2" i="1"/>
  <c r="C4" i="1"/>
  <c r="C21" i="1" l="1"/>
  <c r="C20" i="1"/>
  <c r="C19" i="1"/>
  <c r="C18" i="1"/>
  <c r="C17" i="1"/>
  <c r="C16" i="1"/>
  <c r="C15" i="1"/>
  <c r="C13" i="1"/>
  <c r="C12" i="1"/>
  <c r="C11" i="1"/>
  <c r="C9" i="1"/>
  <c r="C8" i="1"/>
  <c r="C6" i="1"/>
  <c r="C5" i="1"/>
  <c r="C3" i="1"/>
  <c r="E2" i="1" l="1"/>
  <c r="E7" i="1" l="1"/>
  <c r="E19" i="1" l="1"/>
  <c r="E18" i="1"/>
  <c r="E20" i="1"/>
  <c r="D8" i="1" l="1"/>
  <c r="E8" i="1" l="1"/>
  <c r="E5" i="1" l="1"/>
  <c r="F2" i="1" l="1"/>
  <c r="F7" i="1" l="1"/>
  <c r="F21" i="1" l="1"/>
  <c r="F16" i="1"/>
  <c r="F17" i="1" l="1"/>
  <c r="F19" i="1" l="1"/>
  <c r="F20" i="1"/>
  <c r="F18" i="1"/>
  <c r="F15" i="1"/>
  <c r="F13" i="1"/>
  <c r="F12" i="1"/>
  <c r="F9" i="1"/>
  <c r="F8" i="1" l="1"/>
  <c r="F6" i="1"/>
  <c r="F5" i="1" l="1"/>
  <c r="F3" i="1"/>
  <c r="G14" i="1" l="1"/>
  <c r="H14" i="1" l="1"/>
  <c r="H2" i="1"/>
  <c r="B2" i="1"/>
  <c r="B3" i="1"/>
  <c r="B8" i="1"/>
  <c r="B18" i="1"/>
  <c r="B11" i="1"/>
  <c r="B13" i="1" l="1"/>
  <c r="B7" i="1"/>
  <c r="H7" i="1" l="1"/>
  <c r="B4" i="1"/>
  <c r="G16" i="1" l="1"/>
  <c r="F11" i="1"/>
  <c r="G20" i="1" l="1"/>
  <c r="G18" i="1"/>
  <c r="G11" i="1"/>
  <c r="H21" i="1" l="1"/>
  <c r="G3" i="1"/>
  <c r="B20" i="1"/>
  <c r="B19" i="1"/>
  <c r="B17" i="1"/>
  <c r="B16" i="1"/>
  <c r="B15" i="1"/>
  <c r="B12" i="1"/>
  <c r="B9" i="1"/>
  <c r="B6" i="1"/>
  <c r="B5" i="1"/>
  <c r="B21" i="1"/>
  <c r="H20" i="1" l="1"/>
  <c r="H18" i="1"/>
  <c r="H16" i="1"/>
  <c r="H15" i="1"/>
  <c r="H13" i="1"/>
  <c r="H12" i="1"/>
  <c r="H11" i="1"/>
  <c r="H9" i="1"/>
  <c r="H8" i="1"/>
  <c r="H6" i="1"/>
  <c r="H4" i="1"/>
  <c r="H19" i="1"/>
  <c r="H5" i="1" l="1"/>
  <c r="H3" i="1" l="1"/>
  <c r="H17" i="1" l="1"/>
</calcChain>
</file>

<file path=xl/sharedStrings.xml><?xml version="1.0" encoding="utf-8"?>
<sst xmlns="http://schemas.openxmlformats.org/spreadsheetml/2006/main" count="34" uniqueCount="34">
  <si>
    <t>Agent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</si>
  <si>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</si>
  <si>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</si>
  <si>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</si>
  <si>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</si>
  <si>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</si>
  <si>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</si>
  <si>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</si>
  <si>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</si>
  <si>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</si>
  <si>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</si>
  <si>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</si>
  <si>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</si>
  <si>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Blavier Laurent</t>
  </si>
  <si>
    <t>Breucker Pascal</t>
  </si>
  <si>
    <t>Brunin Valentin</t>
  </si>
  <si>
    <t>Dewez Bastien</t>
  </si>
  <si>
    <t>Hoebeke Delphine</t>
  </si>
  <si>
    <t>Joiris Fabienne</t>
  </si>
  <si>
    <t>Lambert Karine</t>
  </si>
  <si>
    <t>Leboutte Aurore</t>
  </si>
  <si>
    <t>Magnus Christine</t>
  </si>
  <si>
    <t>Nolet Frédéric</t>
  </si>
  <si>
    <t>Paquay Thierry</t>
  </si>
  <si>
    <t>Poiret Stéphanie</t>
  </si>
  <si>
    <t>Pretto Olivier</t>
  </si>
  <si>
    <t>Renard Jean-François</t>
  </si>
  <si>
    <t>Stourme Pascal</t>
  </si>
  <si>
    <t>Valdes German</t>
  </si>
  <si>
    <t>Solde 31/08</t>
  </si>
  <si>
    <t>Beckers Michel</t>
  </si>
  <si>
    <t>Hendrickx Chloé</t>
  </si>
  <si>
    <t>Ndema Adrien</t>
  </si>
  <si>
    <t>Kaiser Samuel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</si>
</sst>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3"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wb365.sharepoint.com/sites/CPM-PrestationsAgentsCPM/Shared%20Documents/Prestations%20Agents%20CPM/CalculHeureAdmin.xlsx" TargetMode="External"/><Relationship Id="rId1" Type="http://schemas.openxmlformats.org/officeDocument/2006/relationships/externalLinkPath" Target="CalculHeureAdmi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ECKERS"/>
      <sheetName val="BLAVIER"/>
      <sheetName val="BREUCKER"/>
      <sheetName val="BRUNIN"/>
      <sheetName val="DEWEZ"/>
      <sheetName val="HENDRICKX"/>
      <sheetName val="HOEBEKE"/>
      <sheetName val="JOIRIS"/>
      <sheetName val="KAISER"/>
      <sheetName val="LAMBERT"/>
      <sheetName val="LEBOUTTE"/>
      <sheetName val="MAGNUS"/>
      <sheetName val="NDEMA"/>
      <sheetName val="NOLET"/>
      <sheetName val="PAQUAY"/>
      <sheetName val="POIRET"/>
      <sheetName val="PRETTO"/>
      <sheetName val="RENARD"/>
      <sheetName val="STOURME"/>
      <sheetName val="VALDES"/>
    </sheetNames>
    <sheetDataSet>
      <sheetData sheetId="0">
        <row r="2">
          <cell r="F2" t="str">
            <v xml:space="preserve"> </v>
          </cell>
        </row>
        <row r="5">
          <cell r="K5">
            <v>1.3075222476481059</v>
          </cell>
        </row>
        <row r="6">
          <cell r="K6">
            <v>1.0359944698703281</v>
          </cell>
        </row>
        <row r="7">
          <cell r="K7">
            <v>1.0228000254258836</v>
          </cell>
        </row>
        <row r="8">
          <cell r="K8">
            <v>1.0054389143147724</v>
          </cell>
        </row>
        <row r="9">
          <cell r="K9">
            <v>0.95739969862849783</v>
          </cell>
        </row>
        <row r="10">
          <cell r="K10">
            <v>0.98353606226486145</v>
          </cell>
        </row>
      </sheetData>
      <sheetData sheetId="1">
        <row r="2">
          <cell r="F2" t="str">
            <v xml:space="preserve"> </v>
          </cell>
        </row>
        <row r="5">
          <cell r="K5">
            <v>0.80972222222222234</v>
          </cell>
        </row>
        <row r="6">
          <cell r="K6">
            <v>0.50555555555555565</v>
          </cell>
        </row>
        <row r="7">
          <cell r="K7">
            <v>0.55277777777777781</v>
          </cell>
        </row>
        <row r="8">
          <cell r="K8">
            <v>0.67851190476190482</v>
          </cell>
        </row>
        <row r="9">
          <cell r="K9">
            <v>0.84240079365079368</v>
          </cell>
        </row>
        <row r="10">
          <cell r="K10">
            <v>0.59656746031746033</v>
          </cell>
        </row>
      </sheetData>
      <sheetData sheetId="2">
        <row r="2">
          <cell r="F2">
            <v>0.36438888888888887</v>
          </cell>
        </row>
        <row r="5">
          <cell r="K5">
            <v>1.149111111111111</v>
          </cell>
        </row>
        <row r="6">
          <cell r="K6">
            <v>1.2060555555555554</v>
          </cell>
        </row>
        <row r="7">
          <cell r="K7">
            <v>1.0692499999999998</v>
          </cell>
        </row>
        <row r="8">
          <cell r="K8">
            <v>1.1748055555555554</v>
          </cell>
        </row>
        <row r="9">
          <cell r="K9">
            <v>1.3692499999999999</v>
          </cell>
        </row>
        <row r="10">
          <cell r="K10">
            <v>2.0004999999999997</v>
          </cell>
        </row>
      </sheetData>
      <sheetData sheetId="3">
        <row r="2">
          <cell r="F2" t="str">
            <v xml:space="preserve"> </v>
          </cell>
        </row>
        <row r="5">
          <cell r="K5">
            <v>1.0599939613526568</v>
          </cell>
        </row>
        <row r="6">
          <cell r="K6">
            <v>0.87318840579710122</v>
          </cell>
        </row>
        <row r="7">
          <cell r="K7">
            <v>0.98935002195871746</v>
          </cell>
        </row>
        <row r="8">
          <cell r="K8">
            <v>0.77823891084760632</v>
          </cell>
        </row>
        <row r="9">
          <cell r="K9">
            <v>0.82962779973649525</v>
          </cell>
        </row>
        <row r="10">
          <cell r="K10">
            <v>0.83581466842336394</v>
          </cell>
        </row>
      </sheetData>
      <sheetData sheetId="4">
        <row r="2">
          <cell r="F2" t="str">
            <v xml:space="preserve"> </v>
          </cell>
        </row>
        <row r="5">
          <cell r="K5">
            <v>1.5125</v>
          </cell>
        </row>
        <row r="6">
          <cell r="K6">
            <v>1.3916666666666666</v>
          </cell>
        </row>
        <row r="7">
          <cell r="K7">
            <v>1.3506944444444442</v>
          </cell>
        </row>
        <row r="8">
          <cell r="K8">
            <v>1.1236111111111109</v>
          </cell>
        </row>
        <row r="9">
          <cell r="K9">
            <v>1.2145833333333331</v>
          </cell>
        </row>
        <row r="10">
          <cell r="K10">
            <v>0.99166666666666647</v>
          </cell>
        </row>
      </sheetData>
      <sheetData sheetId="5">
        <row r="2">
          <cell r="F2" t="str">
            <v xml:space="preserve"> </v>
          </cell>
        </row>
        <row r="5">
          <cell r="K5">
            <v>0.34583333333333333</v>
          </cell>
        </row>
        <row r="6">
          <cell r="K6">
            <v>0.3627083333333333</v>
          </cell>
        </row>
        <row r="7">
          <cell r="K7">
            <v>0.3627083333333333</v>
          </cell>
        </row>
        <row r="8">
          <cell r="K8">
            <v>0.3627083333333333</v>
          </cell>
        </row>
        <row r="9">
          <cell r="K9">
            <v>0.3627083333333333</v>
          </cell>
        </row>
        <row r="10">
          <cell r="K10">
            <v>5.2544191919191879E-2</v>
          </cell>
        </row>
      </sheetData>
      <sheetData sheetId="6">
        <row r="2">
          <cell r="F2" t="str">
            <v xml:space="preserve"> </v>
          </cell>
        </row>
        <row r="5">
          <cell r="K5">
            <v>0.83597184661257895</v>
          </cell>
        </row>
        <row r="6">
          <cell r="K6">
            <v>0.91383712439035669</v>
          </cell>
        </row>
        <row r="7">
          <cell r="K7">
            <v>0.88050379105702337</v>
          </cell>
        </row>
        <row r="8">
          <cell r="K8">
            <v>0.74857918788242017</v>
          </cell>
        </row>
        <row r="9">
          <cell r="K9">
            <v>0.73186840356869476</v>
          </cell>
        </row>
        <row r="10">
          <cell r="K10">
            <v>0.84652118134647258</v>
          </cell>
        </row>
      </sheetData>
      <sheetData sheetId="7">
        <row r="2">
          <cell r="F2" t="str">
            <v xml:space="preserve"> </v>
          </cell>
        </row>
        <row r="5">
          <cell r="K5">
            <v>1.8319444444444446</v>
          </cell>
        </row>
        <row r="6">
          <cell r="K6">
            <v>1.7972222222222225</v>
          </cell>
        </row>
        <row r="7">
          <cell r="K7">
            <v>1.4430555555555558</v>
          </cell>
        </row>
        <row r="8">
          <cell r="K8">
            <v>1.088888888888889</v>
          </cell>
        </row>
        <row r="9">
          <cell r="K9">
            <v>1.213888888888889</v>
          </cell>
        </row>
        <row r="10">
          <cell r="K10">
            <v>0.70000000000000018</v>
          </cell>
        </row>
      </sheetData>
      <sheetData sheetId="8">
        <row r="10">
          <cell r="K10">
            <v>0.25</v>
          </cell>
        </row>
      </sheetData>
      <sheetData sheetId="9">
        <row r="2">
          <cell r="F2">
            <v>1.0763888888888888</v>
          </cell>
        </row>
        <row r="5">
          <cell r="K5">
            <v>2.7979166666666671</v>
          </cell>
        </row>
        <row r="6">
          <cell r="K6">
            <v>2.7986111111111116</v>
          </cell>
        </row>
        <row r="7">
          <cell r="K7">
            <v>2.8719065656565661</v>
          </cell>
        </row>
        <row r="8">
          <cell r="K8">
            <v>2.7003787878787882</v>
          </cell>
        </row>
        <row r="9">
          <cell r="K9">
            <v>2.5830176767676769</v>
          </cell>
        </row>
        <row r="10">
          <cell r="K10">
            <v>2.4746843434343435</v>
          </cell>
        </row>
      </sheetData>
      <sheetData sheetId="10">
        <row r="2">
          <cell r="F2">
            <v>1.9340277777777777</v>
          </cell>
        </row>
        <row r="5">
          <cell r="K5">
            <v>3.0756944444444443</v>
          </cell>
        </row>
        <row r="6">
          <cell r="K6">
            <v>3.2020833333333334</v>
          </cell>
        </row>
        <row r="7">
          <cell r="K7">
            <v>3.2694444444444444</v>
          </cell>
        </row>
        <row r="8">
          <cell r="K8">
            <v>3.1645833333333333</v>
          </cell>
        </row>
        <row r="9">
          <cell r="K9">
            <v>3.4145833333333333</v>
          </cell>
        </row>
        <row r="10">
          <cell r="K10">
            <v>3.3840277777777779</v>
          </cell>
        </row>
      </sheetData>
      <sheetData sheetId="11">
        <row r="2">
          <cell r="F2" t="str">
            <v xml:space="preserve"> </v>
          </cell>
        </row>
        <row r="5">
          <cell r="K5">
            <v>0.45102370963640986</v>
          </cell>
        </row>
        <row r="6">
          <cell r="K6">
            <v>0.70102370963640981</v>
          </cell>
        </row>
        <row r="7">
          <cell r="K7">
            <v>0.62356158842428866</v>
          </cell>
        </row>
        <row r="8">
          <cell r="K8">
            <v>0.54510920747190772</v>
          </cell>
        </row>
        <row r="9">
          <cell r="K9">
            <v>0.79510920747190772</v>
          </cell>
        </row>
        <row r="10">
          <cell r="K10">
            <v>0.72844254080524107</v>
          </cell>
        </row>
      </sheetData>
      <sheetData sheetId="12">
        <row r="9">
          <cell r="K9">
            <v>0.20130718954248367</v>
          </cell>
        </row>
        <row r="10">
          <cell r="K10">
            <v>0.25711527035056447</v>
          </cell>
        </row>
      </sheetData>
      <sheetData sheetId="13">
        <row r="2">
          <cell r="F2" t="str">
            <v xml:space="preserve"> </v>
          </cell>
        </row>
        <row r="5">
          <cell r="K5">
            <v>1.393004316621594</v>
          </cell>
        </row>
        <row r="6">
          <cell r="K6">
            <v>1.5214765388438163</v>
          </cell>
        </row>
        <row r="7">
          <cell r="K7">
            <v>1.5200876499549274</v>
          </cell>
        </row>
        <row r="8">
          <cell r="K8">
            <v>1.5465162213834989</v>
          </cell>
        </row>
        <row r="9">
          <cell r="K9">
            <v>1.1666551102723877</v>
          </cell>
        </row>
        <row r="10">
          <cell r="K10">
            <v>1.2388520799693574</v>
          </cell>
        </row>
      </sheetData>
      <sheetData sheetId="14">
        <row r="2">
          <cell r="F2">
            <v>0.13964646464646485</v>
          </cell>
        </row>
        <row r="5">
          <cell r="K5">
            <v>1.961868686868687</v>
          </cell>
        </row>
        <row r="6">
          <cell r="K6">
            <v>2.0868686868686872</v>
          </cell>
        </row>
        <row r="7">
          <cell r="K7">
            <v>1.5729797979797984</v>
          </cell>
        </row>
        <row r="8">
          <cell r="K8">
            <v>1.647285353535354</v>
          </cell>
        </row>
        <row r="9">
          <cell r="K9">
            <v>1.2528409090909096</v>
          </cell>
        </row>
        <row r="10">
          <cell r="K10">
            <v>0.88964646464646524</v>
          </cell>
        </row>
      </sheetData>
      <sheetData sheetId="15">
        <row r="2">
          <cell r="F2" t="str">
            <v xml:space="preserve"> </v>
          </cell>
        </row>
        <row r="5">
          <cell r="K5">
            <v>1.2118055555555554</v>
          </cell>
        </row>
        <row r="6">
          <cell r="K6">
            <v>0.97152777777777755</v>
          </cell>
        </row>
        <row r="7">
          <cell r="K7">
            <v>1.0567550505050503</v>
          </cell>
        </row>
        <row r="8">
          <cell r="K8">
            <v>0.95119949494949463</v>
          </cell>
        </row>
        <row r="9">
          <cell r="K9">
            <v>0.66856060606060574</v>
          </cell>
        </row>
        <row r="10">
          <cell r="K10">
            <v>0.64772727272727249</v>
          </cell>
        </row>
      </sheetData>
      <sheetData sheetId="16">
        <row r="2">
          <cell r="F2">
            <v>2.1722222222222216</v>
          </cell>
        </row>
        <row r="5">
          <cell r="K5">
            <v>4.6909722222222214</v>
          </cell>
        </row>
        <row r="6">
          <cell r="K6">
            <v>5.4208333333333325</v>
          </cell>
        </row>
        <row r="7">
          <cell r="K7">
            <v>6.4708333333333332</v>
          </cell>
        </row>
        <row r="8">
          <cell r="K8">
            <v>7.4763888888888896</v>
          </cell>
        </row>
        <row r="9">
          <cell r="K9">
            <v>7.9659722222222227</v>
          </cell>
        </row>
        <row r="10">
          <cell r="K10">
            <v>9.0388888888888896</v>
          </cell>
        </row>
      </sheetData>
      <sheetData sheetId="17">
        <row r="2">
          <cell r="F2" t="str">
            <v xml:space="preserve"> </v>
          </cell>
        </row>
        <row r="5">
          <cell r="K5">
            <v>4.9813928761297172E-2</v>
          </cell>
        </row>
        <row r="6">
          <cell r="K6">
            <v>4.9813928761297172E-2</v>
          </cell>
        </row>
        <row r="7">
          <cell r="K7">
            <v>1.1430090377458769E-2</v>
          </cell>
        </row>
        <row r="8">
          <cell r="K8">
            <v>6.7283264980633362E-2</v>
          </cell>
        </row>
        <row r="9">
          <cell r="K9">
            <v>0.1756165983139667</v>
          </cell>
        </row>
        <row r="10">
          <cell r="K10">
            <v>0.24758629528366369</v>
          </cell>
        </row>
      </sheetData>
      <sheetData sheetId="18">
        <row r="2">
          <cell r="F2">
            <v>0.78541666666666676</v>
          </cell>
        </row>
        <row r="5">
          <cell r="K5">
            <v>2.3416666666666668</v>
          </cell>
        </row>
        <row r="6">
          <cell r="K6">
            <v>2.3611111111111112</v>
          </cell>
        </row>
        <row r="7">
          <cell r="K7">
            <v>2.3680555555555554</v>
          </cell>
        </row>
        <row r="8">
          <cell r="K8">
            <v>2.3813888888888886</v>
          </cell>
        </row>
        <row r="9">
          <cell r="K9">
            <v>2.3890277777777773</v>
          </cell>
        </row>
        <row r="10">
          <cell r="K10">
            <v>2.3584722222222219</v>
          </cell>
        </row>
      </sheetData>
      <sheetData sheetId="19">
        <row r="2">
          <cell r="F2" t="str">
            <v xml:space="preserve"> </v>
          </cell>
        </row>
        <row r="5">
          <cell r="K5">
            <v>1.05325</v>
          </cell>
        </row>
        <row r="6">
          <cell r="K6">
            <v>0.64491666666666669</v>
          </cell>
        </row>
        <row r="7">
          <cell r="K7">
            <v>0.86991666666666667</v>
          </cell>
        </row>
        <row r="8">
          <cell r="K8">
            <v>1.0476944444444445</v>
          </cell>
        </row>
        <row r="9">
          <cell r="K9">
            <v>1.1081111111111113</v>
          </cell>
        </row>
        <row r="10">
          <cell r="K10">
            <v>1.1276388888888891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300799-99B8-4EB6-AE56-6C90EDB091F8}" name="Tableau1" displayName="Tableau1" ref="A1:N21" totalsRowShown="0">
  <autoFilter ref="A1:N21" xr:uid="{C7300799-99B8-4EB6-AE56-6C90EDB091F8}"/>
  <tableColumns count="14">
    <tableColumn id="1" xr3:uid="{404799F8-EF23-44D1-82C6-A022BF0100EC}" name="Agent"/>
    <tableColumn id="2" xr3:uid="{921AB302-A20C-46BE-9440-9E6AB6DAFD6C}" name="Solde 31/08" dataDxfId="12"/>
    <tableColumn id="7" xr3:uid="{E374D505-F3A4-4A54-B661-7A811C5C6CF0}" name="Janvier" dataDxfId="11">
      <calculatedColumnFormula>[1]BLAVIER!$K$5</calculatedColumnFormula>
    </tableColumn>
    <tableColumn id="8" xr3:uid="{9D8E114C-EE46-411F-8DB7-F007D2820209}" name="Février" dataDxfId="10"/>
    <tableColumn id="5" xr3:uid="{944F841B-7157-43A7-BBF4-EE37DB90304B}" name="Mars" dataDxfId="9"/>
    <tableColumn id="6" xr3:uid="{D6979E67-6E41-4D87-8E2F-C77EC9B86F1C}" name="Avril" dataDxfId="8"/>
    <tableColumn id="4" xr3:uid="{73890115-5FC3-4C52-9738-5535D8C89AA6}" name="Mai" dataDxfId="7"/>
    <tableColumn id="3" xr3:uid="{C3AD0FE6-38FB-4AF2-A2FC-CD8C6AF1D34A}" name="Juin" dataDxfId="0"/>
    <tableColumn id="9" xr3:uid="{2CF88554-1C99-48F6-A58C-B366489DC66A}" name="Juillet" dataDxfId="6"/>
    <tableColumn id="10" xr3:uid="{92839190-8610-4DAD-9F46-735A99F92CBC}" name="Août" dataDxfId="5"/>
    <tableColumn id="11" xr3:uid="{29BF599E-3D07-4D08-9AF4-0E200B9474AF}" name="Septembre" dataDxfId="4"/>
    <tableColumn id="12" xr3:uid="{69B209A5-8270-436F-A131-3A88CE5DD18E}" name="Octobre" dataDxfId="3"/>
    <tableColumn id="13" xr3:uid="{5495805F-AD9C-4F16-87DB-C13BD64B4392}" name="Novembre" dataDxfId="2"/>
    <tableColumn id="14" xr3:uid="{4BC933CC-966E-4C7C-A940-6828309FC481}" name="Décembr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zoomScale="145" zoomScaleNormal="145" workbookViewId="0">
      <selection activeCell="B18" sqref="B18"/>
    </sheetView>
  </sheetViews>
  <sheetFormatPr baseColWidth="10" defaultColWidth="9.140625" defaultRowHeight="15" x14ac:dyDescent="0.25"/>
  <cols>
    <col min="1" max="1" width="23.140625" bestFit="1" customWidth="1"/>
    <col min="2" max="2" width="13.5703125" bestFit="1" customWidth="1"/>
    <col min="3" max="4" width="9.5703125" bestFit="1" customWidth="1"/>
    <col min="5" max="5" width="7.7109375" bestFit="1" customWidth="1"/>
    <col min="6" max="6" width="7.42578125" bestFit="1" customWidth="1"/>
    <col min="7" max="7" width="6.7109375" bestFit="1" customWidth="1"/>
    <col min="8" max="8" width="6.85546875" bestFit="1" customWidth="1"/>
    <col min="9" max="9" width="8.7109375" bestFit="1" customWidth="1"/>
    <col min="10" max="10" width="7.5703125" bestFit="1" customWidth="1"/>
    <col min="11" max="11" width="13.140625" bestFit="1" customWidth="1"/>
    <col min="12" max="12" width="10.42578125" bestFit="1" customWidth="1"/>
    <col min="13" max="13" width="12.7109375" bestFit="1" customWidth="1"/>
    <col min="14" max="14" width="12.42578125" bestFit="1" customWidth="1"/>
  </cols>
  <sheetData>
    <row r="1" spans="1:14" x14ac:dyDescent="0.25">
      <c r="A1" t="s">
        <v>0</v>
      </c>
      <c r="B1" t="s">
        <v>29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 t="s">
        <v>30</v>
      </c>
      <c r="B2" s="1" t="str">
        <f>[1]BECKERS!$F$2</f>
        <v xml:space="preserve"> </v>
      </c>
      <c r="C2" s="1">
        <f>[1]BECKERS!$K$5</f>
        <v>1.3075222476481059</v>
      </c>
      <c r="D2" s="1">
        <f>[1]BECKERS!$K$6</f>
        <v>1.0359944698703281</v>
      </c>
      <c r="E2" s="1">
        <f>[1]BECKERS!$K$7</f>
        <v>1.0228000254258836</v>
      </c>
      <c r="F2" s="1">
        <f>[1]BECKERS!$K$8</f>
        <v>1.0054389143147724</v>
      </c>
      <c r="G2" s="1">
        <f>[1]BECKERS!$K$9</f>
        <v>0.95739969862849783</v>
      </c>
      <c r="H2" s="1">
        <f>[1]BECKERS!$K$10</f>
        <v>0.98353606226486145</v>
      </c>
      <c r="I2" s="1"/>
      <c r="J2" s="1"/>
      <c r="K2" s="1"/>
      <c r="L2" s="1"/>
      <c r="M2" s="1"/>
      <c r="N2" s="1"/>
    </row>
    <row r="3" spans="1:14" x14ac:dyDescent="0.25">
      <c r="A3" t="s">
        <v>13</v>
      </c>
      <c r="B3" s="1" t="str">
        <f>[1]BLAVIER!$F$2</f>
        <v xml:space="preserve"> </v>
      </c>
      <c r="C3" s="1">
        <f>[1]BLAVIER!$K$5</f>
        <v>0.80972222222222234</v>
      </c>
      <c r="D3" s="1">
        <f>[1]BLAVIER!$K$6</f>
        <v>0.50555555555555565</v>
      </c>
      <c r="E3" s="1">
        <f>[1]BLAVIER!$K$7</f>
        <v>0.55277777777777781</v>
      </c>
      <c r="F3" s="1">
        <f>[1]BLAVIER!$K$8</f>
        <v>0.67851190476190482</v>
      </c>
      <c r="G3" s="1">
        <f>[1]BLAVIER!$K$9</f>
        <v>0.84240079365079368</v>
      </c>
      <c r="H3" s="1">
        <f>[1]BLAVIER!$K$10</f>
        <v>0.59656746031746033</v>
      </c>
      <c r="I3" s="1"/>
      <c r="J3" s="1"/>
      <c r="K3" s="1"/>
      <c r="L3" s="1"/>
      <c r="M3" s="1"/>
      <c r="N3" s="1"/>
    </row>
    <row r="4" spans="1:14" x14ac:dyDescent="0.25">
      <c r="A4" t="s">
        <v>14</v>
      </c>
      <c r="B4" s="1">
        <f>[1]BREUCKER!$F$2</f>
        <v>0.36438888888888887</v>
      </c>
      <c r="C4" s="1">
        <f>[1]BREUCKER!$K$5</f>
        <v>1.149111111111111</v>
      </c>
      <c r="D4" s="1">
        <f>[1]BREUCKER!$K$6</f>
        <v>1.2060555555555554</v>
      </c>
      <c r="E4" s="1">
        <f>[1]BREUCKER!$K$7</f>
        <v>1.0692499999999998</v>
      </c>
      <c r="F4" s="1">
        <f>[1]BREUCKER!$K$8</f>
        <v>1.1748055555555554</v>
      </c>
      <c r="G4" s="1">
        <f>[1]BREUCKER!$K$9</f>
        <v>1.3692499999999999</v>
      </c>
      <c r="H4" s="1">
        <f>[1]BREUCKER!$K$10</f>
        <v>2.0004999999999997</v>
      </c>
      <c r="I4" s="1"/>
      <c r="J4" s="1"/>
      <c r="K4" s="1"/>
      <c r="L4" s="1"/>
      <c r="M4" s="1"/>
      <c r="N4" s="1"/>
    </row>
    <row r="5" spans="1:14" x14ac:dyDescent="0.25">
      <c r="A5" t="s">
        <v>15</v>
      </c>
      <c r="B5" s="1" t="str">
        <f>[1]BRUNIN!$F$2</f>
        <v xml:space="preserve"> </v>
      </c>
      <c r="C5" s="1">
        <f>[1]BRUNIN!$K$5</f>
        <v>1.0599939613526568</v>
      </c>
      <c r="D5" s="1">
        <f>[1]BRUNIN!$K$6</f>
        <v>0.87318840579710122</v>
      </c>
      <c r="E5" s="1">
        <f>[1]BRUNIN!$K$7</f>
        <v>0.98935002195871746</v>
      </c>
      <c r="F5" s="1">
        <f>[1]BRUNIN!$K$8</f>
        <v>0.77823891084760632</v>
      </c>
      <c r="G5" s="1">
        <f>[1]BRUNIN!$K$9</f>
        <v>0.82962779973649525</v>
      </c>
      <c r="H5" s="1">
        <f>[1]BRUNIN!$K$10</f>
        <v>0.83581466842336394</v>
      </c>
      <c r="I5" s="1"/>
      <c r="J5" s="1"/>
      <c r="K5" s="1"/>
      <c r="L5" s="1"/>
      <c r="M5" s="1"/>
      <c r="N5" s="1"/>
    </row>
    <row r="6" spans="1:14" x14ac:dyDescent="0.25">
      <c r="A6" t="s">
        <v>16</v>
      </c>
      <c r="B6" s="1" t="str">
        <f>[1]DEWEZ!$F$2</f>
        <v xml:space="preserve"> </v>
      </c>
      <c r="C6" s="1">
        <f>[1]DEWEZ!$K$5</f>
        <v>1.5125</v>
      </c>
      <c r="D6" s="1">
        <f>[1]DEWEZ!$K$6</f>
        <v>1.3916666666666666</v>
      </c>
      <c r="E6" s="1">
        <f>[1]DEWEZ!$K$7</f>
        <v>1.3506944444444442</v>
      </c>
      <c r="F6" s="1">
        <f>[1]DEWEZ!$K$8</f>
        <v>1.1236111111111109</v>
      </c>
      <c r="G6" s="1">
        <f>[1]DEWEZ!$K$9</f>
        <v>1.2145833333333331</v>
      </c>
      <c r="H6" s="1">
        <f>[1]DEWEZ!$K$10</f>
        <v>0.99166666666666647</v>
      </c>
      <c r="I6" s="1"/>
      <c r="J6" s="1"/>
      <c r="K6" s="1"/>
      <c r="L6" s="1"/>
      <c r="M6" s="1"/>
      <c r="N6" s="1"/>
    </row>
    <row r="7" spans="1:14" x14ac:dyDescent="0.25">
      <c r="A7" t="s">
        <v>31</v>
      </c>
      <c r="B7" s="1" t="str">
        <f>[1]HENDRICKX!$F$2</f>
        <v xml:space="preserve"> </v>
      </c>
      <c r="C7" s="1">
        <f>[1]HENDRICKX!$K$5</f>
        <v>0.34583333333333333</v>
      </c>
      <c r="D7" s="1">
        <f>[1]HENDRICKX!$K$6</f>
        <v>0.3627083333333333</v>
      </c>
      <c r="E7" s="1">
        <f>[1]HENDRICKX!$K$7</f>
        <v>0.3627083333333333</v>
      </c>
      <c r="F7" s="1">
        <f>[1]HENDRICKX!$K$8</f>
        <v>0.3627083333333333</v>
      </c>
      <c r="G7" s="1">
        <f>[1]HENDRICKX!$K$9</f>
        <v>0.3627083333333333</v>
      </c>
      <c r="H7" s="1">
        <f>[1]HENDRICKX!$K$10</f>
        <v>5.2544191919191879E-2</v>
      </c>
      <c r="I7" s="1"/>
      <c r="J7" s="1"/>
      <c r="K7" s="1"/>
      <c r="L7" s="1"/>
      <c r="M7" s="1"/>
      <c r="N7" s="1"/>
    </row>
    <row r="8" spans="1:14" x14ac:dyDescent="0.25">
      <c r="A8" t="s">
        <v>17</v>
      </c>
      <c r="B8" s="1" t="str">
        <f>[1]HOEBEKE!$F$2</f>
        <v xml:space="preserve"> </v>
      </c>
      <c r="C8" s="1">
        <f>[1]HOEBEKE!$K$5</f>
        <v>0.83597184661257895</v>
      </c>
      <c r="D8" s="1">
        <f>[1]HOEBEKE!$K$6</f>
        <v>0.91383712439035669</v>
      </c>
      <c r="E8" s="1">
        <f>[1]HOEBEKE!$K$7</f>
        <v>0.88050379105702337</v>
      </c>
      <c r="F8" s="1">
        <f>[1]HOEBEKE!$K$8</f>
        <v>0.74857918788242017</v>
      </c>
      <c r="G8" s="1">
        <f>[1]HOEBEKE!$K$9</f>
        <v>0.73186840356869476</v>
      </c>
      <c r="H8" s="1">
        <f>[1]HOEBEKE!$K$10</f>
        <v>0.84652118134647258</v>
      </c>
      <c r="I8" s="1"/>
      <c r="J8" s="1"/>
      <c r="K8" s="1"/>
      <c r="L8" s="1"/>
      <c r="M8" s="1"/>
      <c r="N8" s="1"/>
    </row>
    <row r="9" spans="1:14" x14ac:dyDescent="0.25">
      <c r="A9" t="s">
        <v>18</v>
      </c>
      <c r="B9" s="1" t="str">
        <f>[1]JOIRIS!$F$2</f>
        <v xml:space="preserve"> </v>
      </c>
      <c r="C9" s="1">
        <f>[1]JOIRIS!$K$5</f>
        <v>1.8319444444444446</v>
      </c>
      <c r="D9" s="1">
        <f>[1]JOIRIS!$K$6</f>
        <v>1.7972222222222225</v>
      </c>
      <c r="E9" s="1">
        <f>[1]JOIRIS!$K$7</f>
        <v>1.4430555555555558</v>
      </c>
      <c r="F9" s="1">
        <f>[1]JOIRIS!$K$8</f>
        <v>1.088888888888889</v>
      </c>
      <c r="G9" s="1">
        <f>[1]JOIRIS!$K$9</f>
        <v>1.213888888888889</v>
      </c>
      <c r="H9" s="1">
        <f>[1]JOIRIS!$K$10</f>
        <v>0.70000000000000018</v>
      </c>
      <c r="I9" s="1"/>
      <c r="J9" s="1"/>
      <c r="K9" s="1"/>
      <c r="L9" s="1"/>
      <c r="M9" s="1"/>
      <c r="N9" s="1"/>
    </row>
    <row r="10" spans="1:14" x14ac:dyDescent="0.25">
      <c r="A10" t="s">
        <v>33</v>
      </c>
      <c r="B10" s="1"/>
      <c r="C10" s="1"/>
      <c r="D10" s="1"/>
      <c r="E10" s="1"/>
      <c r="F10" s="1"/>
      <c r="G10" s="1"/>
      <c r="H10" s="1">
        <f>[1]KAISER!$K$10</f>
        <v>0.25</v>
      </c>
      <c r="I10" s="1"/>
      <c r="J10" s="1"/>
      <c r="K10" s="1"/>
      <c r="L10" s="1"/>
      <c r="M10" s="1"/>
      <c r="N10" s="1"/>
    </row>
    <row r="11" spans="1:14" x14ac:dyDescent="0.25">
      <c r="A11" t="s">
        <v>19</v>
      </c>
      <c r="B11" s="1">
        <f>[1]LAMBERT!$F$2</f>
        <v>1.0763888888888888</v>
      </c>
      <c r="C11" s="1">
        <f>[1]LAMBERT!$K$5</f>
        <v>2.7979166666666671</v>
      </c>
      <c r="D11" s="1">
        <f>[1]LAMBERT!$K$6</f>
        <v>2.7986111111111116</v>
      </c>
      <c r="E11" s="1">
        <f>[1]LAMBERT!$K$7</f>
        <v>2.8719065656565661</v>
      </c>
      <c r="F11" s="1">
        <f>[1]LAMBERT!$K$8</f>
        <v>2.7003787878787882</v>
      </c>
      <c r="G11" s="1">
        <f>[1]LAMBERT!$K$9</f>
        <v>2.5830176767676769</v>
      </c>
      <c r="H11" s="1">
        <f>[1]LAMBERT!$K$10</f>
        <v>2.4746843434343435</v>
      </c>
      <c r="I11" s="1"/>
      <c r="J11" s="1"/>
      <c r="K11" s="1"/>
      <c r="L11" s="1"/>
      <c r="M11" s="1"/>
      <c r="N11" s="1"/>
    </row>
    <row r="12" spans="1:14" x14ac:dyDescent="0.25">
      <c r="A12" t="s">
        <v>20</v>
      </c>
      <c r="B12" s="1">
        <f>[1]LEBOUTTE!$F$2</f>
        <v>1.9340277777777777</v>
      </c>
      <c r="C12" s="1">
        <f>[1]LEBOUTTE!$K$5</f>
        <v>3.0756944444444443</v>
      </c>
      <c r="D12" s="1">
        <f>[1]LEBOUTTE!$K$6</f>
        <v>3.2020833333333334</v>
      </c>
      <c r="E12" s="1">
        <f>[1]LEBOUTTE!$K$7</f>
        <v>3.2694444444444444</v>
      </c>
      <c r="F12" s="1">
        <f>[1]LEBOUTTE!$K$8</f>
        <v>3.1645833333333333</v>
      </c>
      <c r="G12" s="1">
        <f>[1]LEBOUTTE!$K$9</f>
        <v>3.4145833333333333</v>
      </c>
      <c r="H12" s="1">
        <f>[1]LEBOUTTE!$K$10</f>
        <v>3.3840277777777779</v>
      </c>
      <c r="I12" s="1"/>
      <c r="J12" s="1"/>
      <c r="K12" s="1"/>
      <c r="L12" s="1"/>
      <c r="M12" s="1"/>
      <c r="N12" s="1"/>
    </row>
    <row r="13" spans="1:14" x14ac:dyDescent="0.25">
      <c r="A13" t="s">
        <v>21</v>
      </c>
      <c r="B13" s="1" t="str">
        <f>[1]MAGNUS!$F$2</f>
        <v xml:space="preserve"> </v>
      </c>
      <c r="C13" s="1">
        <f>[1]MAGNUS!$K$5</f>
        <v>0.45102370963640986</v>
      </c>
      <c r="D13" s="1">
        <f>[1]MAGNUS!$K$6</f>
        <v>0.70102370963640981</v>
      </c>
      <c r="E13" s="1">
        <f>[1]MAGNUS!$K$7</f>
        <v>0.62356158842428866</v>
      </c>
      <c r="F13" s="1">
        <f>[1]MAGNUS!$K$8</f>
        <v>0.54510920747190772</v>
      </c>
      <c r="G13" s="1">
        <f>[1]MAGNUS!$K$9</f>
        <v>0.79510920747190772</v>
      </c>
      <c r="H13" s="1">
        <f>[1]MAGNUS!$K$10</f>
        <v>0.72844254080524107</v>
      </c>
      <c r="I13" s="1"/>
      <c r="J13" s="1"/>
      <c r="K13" s="1"/>
      <c r="L13" s="1"/>
      <c r="M13" s="1"/>
      <c r="N13" s="1"/>
    </row>
    <row r="14" spans="1:14" x14ac:dyDescent="0.25">
      <c r="A14" t="s">
        <v>32</v>
      </c>
      <c r="B14" s="1"/>
      <c r="C14" s="1"/>
      <c r="D14" s="1"/>
      <c r="E14" s="1"/>
      <c r="F14" s="1"/>
      <c r="G14" s="1">
        <f>[1]NDEMA!$K$9</f>
        <v>0.20130718954248367</v>
      </c>
      <c r="H14" s="1">
        <f>[1]NDEMA!$K$10</f>
        <v>0.25711527035056447</v>
      </c>
      <c r="I14" s="1"/>
      <c r="J14" s="1"/>
      <c r="K14" s="1"/>
      <c r="L14" s="1"/>
      <c r="M14" s="1"/>
      <c r="N14" s="1"/>
    </row>
    <row r="15" spans="1:14" x14ac:dyDescent="0.25">
      <c r="A15" t="s">
        <v>22</v>
      </c>
      <c r="B15" s="1" t="str">
        <f>[1]NOLET!$F$2</f>
        <v xml:space="preserve"> </v>
      </c>
      <c r="C15" s="1">
        <f>[1]NOLET!$K$5</f>
        <v>1.393004316621594</v>
      </c>
      <c r="D15" s="1">
        <f>[1]NOLET!$K$6</f>
        <v>1.5214765388438163</v>
      </c>
      <c r="E15" s="1">
        <f>[1]NOLET!$K$7</f>
        <v>1.5200876499549274</v>
      </c>
      <c r="F15" s="1">
        <f>[1]NOLET!$K$8</f>
        <v>1.5465162213834989</v>
      </c>
      <c r="G15" s="1">
        <f>[1]NOLET!$K$9</f>
        <v>1.1666551102723877</v>
      </c>
      <c r="H15" s="1">
        <f>[1]NOLET!$K$10</f>
        <v>1.2388520799693574</v>
      </c>
      <c r="I15" s="1"/>
      <c r="J15" s="1"/>
      <c r="K15" s="1"/>
      <c r="L15" s="1"/>
      <c r="M15" s="1"/>
      <c r="N15" s="1"/>
    </row>
    <row r="16" spans="1:14" x14ac:dyDescent="0.25">
      <c r="A16" t="s">
        <v>23</v>
      </c>
      <c r="B16" s="1">
        <f>[1]PAQUAY!$F$2</f>
        <v>0.13964646464646485</v>
      </c>
      <c r="C16" s="1">
        <f>[1]PAQUAY!$K$5</f>
        <v>1.961868686868687</v>
      </c>
      <c r="D16" s="1">
        <f>[1]PAQUAY!$K$6</f>
        <v>2.0868686868686872</v>
      </c>
      <c r="E16" s="1">
        <f>[1]PAQUAY!$K$7</f>
        <v>1.5729797979797984</v>
      </c>
      <c r="F16" s="1">
        <f>[1]PAQUAY!$K$8</f>
        <v>1.647285353535354</v>
      </c>
      <c r="G16" s="1">
        <f>[1]PAQUAY!$K$9</f>
        <v>1.2528409090909096</v>
      </c>
      <c r="H16" s="1">
        <f>[1]PAQUAY!$K$10</f>
        <v>0.88964646464646524</v>
      </c>
      <c r="I16" s="1"/>
      <c r="J16" s="1"/>
      <c r="K16" s="1"/>
      <c r="L16" s="1"/>
      <c r="M16" s="1"/>
      <c r="N16" s="1"/>
    </row>
    <row r="17" spans="1:14" x14ac:dyDescent="0.25">
      <c r="A17" t="s">
        <v>24</v>
      </c>
      <c r="B17" s="1" t="str">
        <f>[1]POIRET!$F$2</f>
        <v xml:space="preserve"> </v>
      </c>
      <c r="C17" s="1">
        <f>[1]POIRET!$K$5</f>
        <v>1.2118055555555554</v>
      </c>
      <c r="D17" s="1">
        <f>[1]POIRET!$K$6</f>
        <v>0.97152777777777755</v>
      </c>
      <c r="E17" s="1">
        <f>[1]POIRET!$K$7</f>
        <v>1.0567550505050503</v>
      </c>
      <c r="F17" s="1">
        <f>[1]POIRET!$K$8</f>
        <v>0.95119949494949463</v>
      </c>
      <c r="G17" s="1">
        <f>[1]POIRET!$K$9</f>
        <v>0.66856060606060574</v>
      </c>
      <c r="H17" s="1">
        <f>[1]POIRET!$K$10</f>
        <v>0.64772727272727249</v>
      </c>
      <c r="I17" s="1"/>
      <c r="J17" s="1"/>
      <c r="K17" s="1"/>
      <c r="L17" s="1"/>
      <c r="M17" s="1"/>
      <c r="N17" s="1"/>
    </row>
    <row r="18" spans="1:14" x14ac:dyDescent="0.25">
      <c r="A18" t="s">
        <v>25</v>
      </c>
      <c r="B18" s="1">
        <f>[1]PRETTO!$F$2</f>
        <v>2.1722222222222216</v>
      </c>
      <c r="C18" s="1">
        <f>[1]PRETTO!$K$5</f>
        <v>4.6909722222222214</v>
      </c>
      <c r="D18" s="1">
        <f>[1]PRETTO!$K$6</f>
        <v>5.4208333333333325</v>
      </c>
      <c r="E18" s="1">
        <f>[1]PRETTO!$K$7</f>
        <v>6.4708333333333332</v>
      </c>
      <c r="F18" s="1">
        <f>[1]PRETTO!$K$8</f>
        <v>7.4763888888888896</v>
      </c>
      <c r="G18" s="1">
        <f>[1]PRETTO!$K$9</f>
        <v>7.9659722222222227</v>
      </c>
      <c r="H18" s="1">
        <f>[1]PRETTO!$K$10</f>
        <v>9.0388888888888896</v>
      </c>
      <c r="I18" s="1"/>
      <c r="J18" s="1"/>
      <c r="K18" s="1"/>
      <c r="L18" s="1"/>
      <c r="M18" s="1"/>
      <c r="N18" s="1"/>
    </row>
    <row r="19" spans="1:14" x14ac:dyDescent="0.25">
      <c r="A19" t="s">
        <v>26</v>
      </c>
      <c r="B19" s="1" t="str">
        <f>[1]RENARD!$F$2</f>
        <v xml:space="preserve"> </v>
      </c>
      <c r="C19" s="1">
        <f>[1]RENARD!$K$5</f>
        <v>4.9813928761297172E-2</v>
      </c>
      <c r="D19" s="1">
        <f>[1]RENARD!$K$6</f>
        <v>4.9813928761297172E-2</v>
      </c>
      <c r="E19" s="1">
        <f>[1]RENARD!$K$7</f>
        <v>1.1430090377458769E-2</v>
      </c>
      <c r="F19" s="1">
        <f>[1]RENARD!$K$8</f>
        <v>6.7283264980633362E-2</v>
      </c>
      <c r="G19" s="1">
        <f>[1]RENARD!$K$9</f>
        <v>0.1756165983139667</v>
      </c>
      <c r="H19" s="1">
        <f>[1]RENARD!$K$10</f>
        <v>0.24758629528366369</v>
      </c>
      <c r="I19" s="1"/>
      <c r="J19" s="1"/>
      <c r="K19" s="1"/>
      <c r="L19" s="1"/>
      <c r="M19" s="1"/>
      <c r="N19" s="1"/>
    </row>
    <row r="20" spans="1:14" x14ac:dyDescent="0.25">
      <c r="A20" t="s">
        <v>27</v>
      </c>
      <c r="B20" s="1">
        <f>[1]STOURME!$F$2</f>
        <v>0.78541666666666676</v>
      </c>
      <c r="C20" s="1">
        <f>[1]STOURME!$K$5</f>
        <v>2.3416666666666668</v>
      </c>
      <c r="D20" s="1">
        <f>[1]STOURME!$K$6</f>
        <v>2.3611111111111112</v>
      </c>
      <c r="E20" s="1">
        <f>[1]STOURME!$K$7</f>
        <v>2.3680555555555554</v>
      </c>
      <c r="F20" s="1">
        <f>[1]STOURME!$K$8</f>
        <v>2.3813888888888886</v>
      </c>
      <c r="G20" s="1">
        <f>[1]STOURME!$K$9</f>
        <v>2.3890277777777773</v>
      </c>
      <c r="H20" s="1">
        <f>[1]STOURME!$K$10</f>
        <v>2.3584722222222219</v>
      </c>
      <c r="I20" s="1"/>
      <c r="J20" s="1"/>
      <c r="K20" s="1"/>
      <c r="L20" s="1"/>
      <c r="M20" s="1"/>
      <c r="N20" s="1"/>
    </row>
    <row r="21" spans="1:14" x14ac:dyDescent="0.25">
      <c r="A21" t="s">
        <v>28</v>
      </c>
      <c r="B21" s="1" t="str">
        <f>[1]VALDES!$F$2</f>
        <v xml:space="preserve"> </v>
      </c>
      <c r="C21" s="1">
        <f>[1]VALDES!$K$5</f>
        <v>1.05325</v>
      </c>
      <c r="D21" s="1">
        <f>[1]VALDES!$K$6</f>
        <v>0.64491666666666669</v>
      </c>
      <c r="E21" s="1">
        <f>[1]VALDES!$K$7</f>
        <v>0.86991666666666667</v>
      </c>
      <c r="F21" s="1">
        <f>[1]VALDES!$K$8</f>
        <v>1.0476944444444445</v>
      </c>
      <c r="G21" s="1">
        <f>[1]VALDES!$K$9</f>
        <v>1.1081111111111113</v>
      </c>
      <c r="H21" s="1">
        <f>[1]VALDES!$K$10</f>
        <v>1.1276388888888891</v>
      </c>
      <c r="I21" s="1"/>
      <c r="J21" s="1"/>
      <c r="K21" s="1"/>
      <c r="L21" s="1"/>
      <c r="M21" s="1"/>
      <c r="N21" s="1"/>
    </row>
  </sheetData>
  <phoneticPr fontId="1" type="noConversion"/>
  <pageMargins left="0.7" right="0.7" top="0.75" bottom="0.75" header="0.3" footer="0.3"/>
  <ignoredErrors>
    <ignoredError sqref="C15:C21 C11:C13 C2:C9" calculatedColumn="1"/>
  </ignoredErrors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7BC018F9DBE74C924557264AE521C8" ma:contentTypeVersion="11" ma:contentTypeDescription="Create a new document." ma:contentTypeScope="" ma:versionID="df6304fc725e62364016da26349e6aa2">
  <xsd:schema xmlns:xsd="http://www.w3.org/2001/XMLSchema" xmlns:xs="http://www.w3.org/2001/XMLSchema" xmlns:p="http://schemas.microsoft.com/office/2006/metadata/properties" xmlns:ns2="1af87cbf-0b42-4b26-9f6b-99e2f2c26033" targetNamespace="http://schemas.microsoft.com/office/2006/metadata/properties" ma:root="true" ma:fieldsID="24110c7d026aeb2113c3cc5af0e0c47a" ns2:_="">
    <xsd:import namespace="1af87cbf-0b42-4b26-9f6b-99e2f2c260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f87cbf-0b42-4b26-9f6b-99e2f2c260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648a96-cea2-4c1b-af13-24c66345d7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f87cbf-0b42-4b26-9f6b-99e2f2c2603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F5359EC-D85E-4EE8-994B-A84A3864389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D074922-0E66-4D1E-ACA7-53398BEE69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f87cbf-0b42-4b26-9f6b-99e2f2c260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3162B4C-8036-4FD3-B02E-9FAB6E06A7E9}">
  <ds:schemaRefs>
    <ds:schemaRef ds:uri="http://schemas.microsoft.com/office/2006/metadata/properties"/>
    <ds:schemaRef ds:uri="http://schemas.microsoft.com/office/infopath/2007/PartnerControls"/>
    <ds:schemaRef ds:uri="1af87cbf-0b42-4b26-9f6b-99e2f2c2603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DEWEZ Bastien</dc:creator>
  <cp:lastModifiedBy>DEWEZ Bastien</cp:lastModifiedBy>
  <dcterms:created xsi:type="dcterms:W3CDTF">2015-06-05T18:19:34Z</dcterms:created>
  <dcterms:modified xsi:type="dcterms:W3CDTF">2026-07-02T11:30:08Z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0x010100937BC018F9DBE74C924557264AE521C8</vt:lpwstr>
  </property>
  <property fmtid="{D5CDD505-2E9C-101B-9397-08002B2CF9AE}" pid="3" name="MediaServiceImageTags">
    <vt:lpwstr/>
  </property>
</Properties>
</file>